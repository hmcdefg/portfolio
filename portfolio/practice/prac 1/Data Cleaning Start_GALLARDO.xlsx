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MLAB\Downloads\"/>
    </mc:Choice>
  </mc:AlternateContent>
  <bookViews>
    <workbookView xWindow="0" yWindow="0" windowWidth="28800" windowHeight="12300" activeTab="1"/>
  </bookViews>
  <sheets>
    <sheet name="Data Cleaning Start" sheetId="1" r:id="rId1"/>
    <sheet name="Revenue_fact" sheetId="2" r:id="rId2"/>
    <sheet name="client_dim" sheetId="3" r:id="rId3"/>
    <sheet name="department_dim" sheetId="4" r:id="rId4"/>
    <sheet name="state_dim" sheetId="5" r:id="rId5"/>
    <sheet name="payment_dim" sheetId="6" r:id="rId6"/>
  </sheets>
  <definedNames>
    <definedName name="_xlcn.WorksheetConnection_DataCleaningStart_GALLARDO.xlsxclient_tbl1" hidden="1">client_tbl[]</definedName>
    <definedName name="_xlcn.WorksheetConnection_DataCleaningStart_GALLARDO.xlsxdept_tbl1" hidden="1">dept_tbl[]</definedName>
    <definedName name="_xlcn.WorksheetConnection_DataCleaningStart_GALLARDO.xlsxpayment_tbl1" hidden="1">payment_tbl[]</definedName>
    <definedName name="_xlcn.WorksheetConnection_DataCleaningStart_GALLARDO.xlsxrevenue_fact1" hidden="1">revenue_fact[]</definedName>
    <definedName name="_xlcn.WorksheetConnection_DataCleaningStart_GALLARDO.xlsxstate_tbl1" hidden="1">state_tbl[]</definedName>
  </definedNames>
  <calcPr calcId="162913"/>
  <extLst>
    <ext xmlns:x15="http://schemas.microsoft.com/office/spreadsheetml/2010/11/main" uri="{FCE2AD5D-F65C-4FA6-A056-5C36A1767C68}">
      <x15:dataModel>
        <x15:modelTables>
          <x15:modelTable id="client_tbl" name="client_tbl" connection="WorksheetConnection_Data Cleaning Start_GALLARDO.xlsx!client_tbl"/>
          <x15:modelTable id="revenue_fact" name="revenue_fact" connection="WorksheetConnection_Data Cleaning Start_GALLARDO.xlsx!revenue_fact"/>
          <x15:modelTable id="dept_tbl" name="dept_tbl" connection="WorksheetConnection_Data Cleaning Start_GALLARDO.xlsx!dept_tbl"/>
          <x15:modelTable id="payment_tbl" name="payment_tbl" connection="WorksheetConnection_Data Cleaning Start_GALLARDO.xlsx!payment_tbl"/>
          <x15:modelTable id="state_tbl" name="state_tbl" connection="WorksheetConnection_Data Cleaning Start_GALLARDO.xlsx!state_tbl"/>
        </x15:modelTables>
        <x15:modelRelationships>
          <x15:modelRelationship fromTable="client_tbl" fromColumn="client_id" toTable="revenue_fact" toColumn="client_ID"/>
          <x15:modelRelationship fromTable="revenue_fact" fromColumn="dept_ID" toTable="dept_tbl" toColumn="dept_ID"/>
          <x15:modelRelationship fromTable="revenue_fact" fromColumn="payment_ID" toTable="payment_tbl" toColumn="payment_id"/>
          <x15:modelRelationship fromTable="revenue_fact" fromColumn="state_ID" toTable="state_tbl" toColumn="state-id"/>
        </x15:modelRelationships>
      </x15:dataModel>
    </ext>
    <ext uri="GoogleSheetsCustomDataVersion2">
      <go:sheetsCustomData xmlns:go="http://customooxmlschemas.google.com/" r:id="rId10" roundtripDataChecksum="9bsclttNXIf09TGk9wIf844Ueeb6/QTGbVLjhXUyrYM="/>
    </ext>
  </extLst>
</workbook>
</file>

<file path=xl/calcChain.xml><?xml version="1.0" encoding="utf-8"?>
<calcChain xmlns="http://schemas.openxmlformats.org/spreadsheetml/2006/main">
  <c r="I30" i="2" l="1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Data Cleaning Start_GALLARDO.xlsx!client_tbl" type="102" refreshedVersion="6" minRefreshableVersion="5">
    <extLst>
      <ext xmlns:x15="http://schemas.microsoft.com/office/spreadsheetml/2010/11/main" uri="{DE250136-89BD-433C-8126-D09CA5730AF9}">
        <x15:connection id="client_tbl">
          <x15:rangePr sourceName="_xlcn.WorksheetConnection_DataCleaningStart_GALLARDO.xlsxclient_tbl1"/>
        </x15:connection>
      </ext>
    </extLst>
  </connection>
  <connection id="3" name="WorksheetConnection_Data Cleaning Start_GALLARDO.xlsx!dept_tbl" type="102" refreshedVersion="6" minRefreshableVersion="5">
    <extLst>
      <ext xmlns:x15="http://schemas.microsoft.com/office/spreadsheetml/2010/11/main" uri="{DE250136-89BD-433C-8126-D09CA5730AF9}">
        <x15:connection id="dept_tbl">
          <x15:rangePr sourceName="_xlcn.WorksheetConnection_DataCleaningStart_GALLARDO.xlsxdept_tbl1"/>
        </x15:connection>
      </ext>
    </extLst>
  </connection>
  <connection id="4" name="WorksheetConnection_Data Cleaning Start_GALLARDO.xlsx!payment_tbl" type="102" refreshedVersion="6" minRefreshableVersion="5">
    <extLst>
      <ext xmlns:x15="http://schemas.microsoft.com/office/spreadsheetml/2010/11/main" uri="{DE250136-89BD-433C-8126-D09CA5730AF9}">
        <x15:connection id="payment_tbl">
          <x15:rangePr sourceName="_xlcn.WorksheetConnection_DataCleaningStart_GALLARDO.xlsxpayment_tbl1"/>
        </x15:connection>
      </ext>
    </extLst>
  </connection>
  <connection id="5" name="WorksheetConnection_Data Cleaning Start_GALLARDO.xlsx!revenue_fact" type="102" refreshedVersion="6" minRefreshableVersion="5">
    <extLst>
      <ext xmlns:x15="http://schemas.microsoft.com/office/spreadsheetml/2010/11/main" uri="{DE250136-89BD-433C-8126-D09CA5730AF9}">
        <x15:connection id="revenue_fact">
          <x15:rangePr sourceName="_xlcn.WorksheetConnection_DataCleaningStart_GALLARDO.xlsxrevenue_fact1"/>
        </x15:connection>
      </ext>
    </extLst>
  </connection>
  <connection id="6" name="WorksheetConnection_Data Cleaning Start_GALLARDO.xlsx!state_tbl" type="102" refreshedVersion="6" minRefreshableVersion="5">
    <extLst>
      <ext xmlns:x15="http://schemas.microsoft.com/office/spreadsheetml/2010/11/main" uri="{DE250136-89BD-433C-8126-D09CA5730AF9}">
        <x15:connection id="state_tbl">
          <x15:rangePr sourceName="_xlcn.WorksheetConnection_DataCleaningStart_GALLARDO.xlsxstate_tbl1"/>
        </x15:connection>
      </ext>
    </extLst>
  </connection>
</connections>
</file>

<file path=xl/sharedStrings.xml><?xml version="1.0" encoding="utf-8"?>
<sst xmlns="http://schemas.openxmlformats.org/spreadsheetml/2006/main" count="405" uniqueCount="209">
  <si>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</si>
  <si>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</si>
  <si>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</si>
  <si>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</si>
  <si>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</si>
  <si>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</si>
  <si>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</si>
  <si>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</si>
  <si>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</si>
  <si>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</si>
  <si>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</si>
  <si>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</si>
  <si>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</si>
  <si>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</si>
  <si>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</si>
  <si>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</si>
  <si>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</si>
  <si>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</si>
  <si>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</si>
  <si>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</si>
  <si>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</si>
  <si>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</si>
  <si>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</si>
  <si>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</si>
  <si>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</si>
  <si>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</si>
  <si>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</si>
  <si>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</si>
  <si>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</si>
  <si>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</si>
  <si>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</si>
  <si>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</si>
  <si>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</si>
  <si>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</si>
  <si>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</si>
  <si>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</si>
  <si>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</si>
  <si>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</si>
  <si>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</si>
  <si>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</si>
  <si>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</si>
  <si>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</si>
  <si>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</si>
  <si>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</si>
  <si>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</si>
  <si>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</si>
  <si>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</si>
  <si>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</si>
  <si>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</si>
  <si>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</si>
  <si>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</si>
  <si>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</si>
  <si>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</si>
  <si>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</si>
  <si>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</si>
  <si>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</si>
  <si>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</si>
  <si>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</si>
  <si>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</si>
  <si>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</si>
  <si>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</si>
  <si>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</si>
  <si>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</si>
  <si>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</si>
  <si>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</si>
  <si>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</si>
  <si>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</si>
  <si>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</si>
  <si>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</si>
  <si>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</si>
  <si>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</si>
  <si>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</si>
  <si>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>client_ID</t>
  </si>
  <si>
    <t>dept_ID</t>
  </si>
  <si>
    <t>state_ID</t>
  </si>
  <si>
    <t>State</t>
  </si>
  <si>
    <t>payment_ID</t>
  </si>
  <si>
    <t xml:space="preserve">AMAZON.COM, INC.  </t>
  </si>
  <si>
    <t>Bill Smith</t>
  </si>
  <si>
    <t>Cloud Tech</t>
  </si>
  <si>
    <t>Texas</t>
  </si>
  <si>
    <t xml:space="preserve">TESLA, INC.  </t>
  </si>
  <si>
    <t>Ken Singh</t>
  </si>
  <si>
    <t>Strategy</t>
  </si>
  <si>
    <t>New York</t>
  </si>
  <si>
    <t xml:space="preserve">NETFLIX, INC.  </t>
  </si>
  <si>
    <t>Harley Fritz</t>
  </si>
  <si>
    <t>Others</t>
  </si>
  <si>
    <t xml:space="preserve">THE PROCTER &amp; GAMBLE COMPANY  </t>
  </si>
  <si>
    <t>Operations</t>
  </si>
  <si>
    <t>Florida</t>
  </si>
  <si>
    <t xml:space="preserve">THE GOLDMAN SACHS GROUP, INC.  </t>
  </si>
  <si>
    <t>David Rasmussen</t>
  </si>
  <si>
    <t xml:space="preserve">JPMORGAN CHASE &amp; CO.  </t>
  </si>
  <si>
    <t>Ivan Hiney</t>
  </si>
  <si>
    <t xml:space="preserve">MORGAN STANLEY  </t>
  </si>
  <si>
    <t>Jonha Ma</t>
  </si>
  <si>
    <t xml:space="preserve">CITIGROUP INC.  </t>
  </si>
  <si>
    <t>Jordan Boone</t>
  </si>
  <si>
    <t xml:space="preserve">BANK OF AMERICA CORPORATION  </t>
  </si>
  <si>
    <t xml:space="preserve">WALMART INC.  </t>
  </si>
  <si>
    <t xml:space="preserve">TARGET CORPORATION  </t>
  </si>
  <si>
    <t>Brendan Wallace</t>
  </si>
  <si>
    <t xml:space="preserve">COSTCO WHOLESALE CORPORATION  </t>
  </si>
  <si>
    <t>Conor Wise</t>
  </si>
  <si>
    <t xml:space="preserve">MCDONALD'S CORPORATION  </t>
  </si>
  <si>
    <t>Steven Michael</t>
  </si>
  <si>
    <t>Big Data</t>
  </si>
  <si>
    <t>California</t>
  </si>
  <si>
    <t xml:space="preserve"> </t>
  </si>
  <si>
    <t xml:space="preserve">EXXON MOBIL CORPORATION  </t>
  </si>
  <si>
    <t xml:space="preserve">VERIZON COMMUNICATIONS INC.  </t>
  </si>
  <si>
    <t>Jose Roach</t>
  </si>
  <si>
    <t xml:space="preserve">THE HOME DEPOT, INC.  </t>
  </si>
  <si>
    <t>Franklin Wrigt</t>
  </si>
  <si>
    <t xml:space="preserve">CISCO SYSTEMS, INC.  </t>
  </si>
  <si>
    <t>Alia Thornton</t>
  </si>
  <si>
    <t xml:space="preserve">CHEVRON CORPORATION  </t>
  </si>
  <si>
    <t>Denzel Flores</t>
  </si>
  <si>
    <t xml:space="preserve">AT&amp;T INC.  </t>
  </si>
  <si>
    <t>Bruno Cordova</t>
  </si>
  <si>
    <t xml:space="preserve">INTEL CORPORATION  </t>
  </si>
  <si>
    <t>Jaylynn Napp</t>
  </si>
  <si>
    <t xml:space="preserve">GENERAL MOTORS COMPANY  </t>
  </si>
  <si>
    <t>Bruce Rich</t>
  </si>
  <si>
    <t xml:space="preserve">MICROSOFT CORPORATION  </t>
  </si>
  <si>
    <t>Arturo Moore</t>
  </si>
  <si>
    <t xml:space="preserve">COMCAST CORPORATION  </t>
  </si>
  <si>
    <t>Bryce Carpenter</t>
  </si>
  <si>
    <t xml:space="preserve">DELL TECHNOLOGIES INC.  </t>
  </si>
  <si>
    <t>Jaidyn Andersen</t>
  </si>
  <si>
    <t xml:space="preserve">JOHNSON &amp; JOHNSON  </t>
  </si>
  <si>
    <t>Mark Walm</t>
  </si>
  <si>
    <t xml:space="preserve">FEDEX CORPORATION  </t>
  </si>
  <si>
    <t>Harry Lee</t>
  </si>
  <si>
    <t xml:space="preserve">GENERAL ELECTRIC COMPANY  </t>
  </si>
  <si>
    <t>Josh Johnson</t>
  </si>
  <si>
    <t xml:space="preserve">LOCKHEED MARTIN CORPORATION  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</si>
  <si>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</si>
  <si>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</si>
  <si>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</si>
  <si>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</si>
  <si>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</si>
  <si>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</si>
  <si>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</si>
  <si>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</si>
  <si>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</si>
  <si>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</si>
  <si>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</si>
  <si>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</si>
  <si>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</si>
  <si>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</si>
  <si>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</si>
  <si>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</si>
  <si>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</si>
  <si>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</si>
  <si>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</si>
  <si>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</si>
  <si>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</si>
  <si>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</si>
  <si>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</si>
  <si>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</si>
  <si>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</si>
  <si>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</si>
  <si>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</si>
  <si>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</si>
  <si>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D-101</t>
  </si>
  <si>
    <t>D-102</t>
  </si>
  <si>
    <t>D-103</t>
  </si>
  <si>
    <t>D-104</t>
  </si>
  <si>
    <t>S-101</t>
  </si>
  <si>
    <t>S-102</t>
  </si>
  <si>
    <t>S-103</t>
  </si>
  <si>
    <t>S-104</t>
  </si>
  <si>
    <t>P-101</t>
  </si>
  <si>
    <t>P-102</t>
  </si>
  <si>
    <t>P-103</t>
  </si>
  <si>
    <t>P-104</t>
  </si>
  <si>
    <t>P-105</t>
  </si>
  <si>
    <t>T-101</t>
  </si>
  <si>
    <t>T-102</t>
  </si>
  <si>
    <t>T-103</t>
  </si>
  <si>
    <t>T-104</t>
  </si>
  <si>
    <t>T-105</t>
  </si>
  <si>
    <t>T-106</t>
  </si>
  <si>
    <t>T-107</t>
  </si>
  <si>
    <t>T-108</t>
  </si>
  <si>
    <t>T-109</t>
  </si>
  <si>
    <t>T-110</t>
  </si>
  <si>
    <t>T-111</t>
  </si>
  <si>
    <t>T-112</t>
  </si>
  <si>
    <t>T-113</t>
  </si>
  <si>
    <t>T-114</t>
  </si>
  <si>
    <t>T-115</t>
  </si>
  <si>
    <t>T-116</t>
  </si>
  <si>
    <t>T-117</t>
  </si>
  <si>
    <t>T-118</t>
  </si>
  <si>
    <t>T-119</t>
  </si>
  <si>
    <t>T-120</t>
  </si>
  <si>
    <t>T-121</t>
  </si>
  <si>
    <t>T-122</t>
  </si>
  <si>
    <t>T-123</t>
  </si>
  <si>
    <t>T-124</t>
  </si>
  <si>
    <t>T-125</t>
  </si>
  <si>
    <t>T-126</t>
  </si>
  <si>
    <t>T-127</t>
  </si>
  <si>
    <t>T-128</t>
  </si>
  <si>
    <t>T-129</t>
  </si>
  <si>
    <t>Tran_ID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</si>
</sst>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[Red]\(&quot;$&quot;#,##0\)"/>
    <numFmt numFmtId="165" formatCode="0.0%"/>
    <numFmt numFmtId="166" formatCode="[$$-409]#,##0;[Red][$$-409]#,##0"/>
  </numFmts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CCA68"/>
        <bgColor rgb="FFA8D08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14" fontId="1" fillId="0" borderId="0" xfId="0" applyNumberFormat="1" applyFont="1"/>
    <xf numFmtId="0" fontId="2" fillId="0" borderId="0" xfId="0" applyFont="1"/>
    <xf numFmtId="164" fontId="1" fillId="0" borderId="0" xfId="0" applyNumberFormat="1" applyFont="1" applyAlignment="1">
      <alignment horizontal="center"/>
    </xf>
    <xf numFmtId="165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3" borderId="0" xfId="0" applyFont="1" applyFill="1"/>
    <xf numFmtId="14" fontId="1" fillId="3" borderId="0" xfId="0" applyNumberFormat="1" applyFont="1" applyFill="1"/>
    <xf numFmtId="0" fontId="3" fillId="4" borderId="1" xfId="0" applyFont="1" applyFill="1" applyBorder="1" applyAlignment="1">
      <alignment horizontal="center" vertical="center"/>
    </xf>
    <xf numFmtId="0" fontId="0" fillId="3" borderId="0" xfId="0" applyFont="1" applyFill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A8D08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A8D08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A8D08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A8D08D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fill>
        <patternFill patternType="solid">
          <fgColor rgb="FFA8D08D"/>
          <bgColor rgb="FF2CCA6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[$$-409]#,##0;[Red]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66" formatCode="[$$-409]#,##0;[Red]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19" formatCode="dd/mm/yyyy"/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colors>
    <mruColors>
      <color rgb="FF2CCA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5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10" Type="http://customschemas.google.com/relationships/workbookmetadata" Target="metadata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/Relationships>
</file>

<file path=xl/tables/table1.xml><?xml version="1.0" encoding="utf-8"?>
<table xmlns="http://schemas.openxmlformats.org/spreadsheetml/2006/main" id="1" name="revenue_fact" displayName="revenue_fact" ref="A1:I30" totalsRowShown="0" headerRowDxfId="17">
  <autoFilter ref="A1:I30"/>
  <tableColumns count="9">
    <tableColumn id="9" name="Tran_ID" dataDxfId="0"/>
    <tableColumn id="1" name="Date" dataDxfId="1"/>
    <tableColumn id="2" name="client_ID" dataDxfId="24"/>
    <tableColumn id="3" name="dept_ID" dataDxfId="23"/>
    <tableColumn id="4" name="state_ID" dataDxfId="22"/>
    <tableColumn id="5" name="payment_ID" dataDxfId="21"/>
    <tableColumn id="6" name="Revenue" dataDxfId="20"/>
    <tableColumn id="7" name="Profit" dataDxfId="19"/>
    <tableColumn id="8" name="Profit Margin" dataDxfId="18">
      <calculatedColumnFormula>IFERROR(H2/G2,0)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ient_tbl" displayName="client_tbl" ref="A1:C29" totalsRowShown="0" headerRowDxfId="13">
  <autoFilter ref="A1:C29"/>
  <tableColumns count="3">
    <tableColumn id="1" name="Client" dataDxfId="16"/>
    <tableColumn id="2" name="client_ID" dataDxfId="15"/>
    <tableColumn id="3" name="Contact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pt_tbl" displayName="dept_tbl" ref="A1:B5" totalsRowShown="0" headerRowDxfId="9" dataDxfId="10">
  <autoFilter ref="A1:B5"/>
  <tableColumns count="2">
    <tableColumn id="1" name="Department" dataDxfId="12"/>
    <tableColumn id="2" name="dept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tate_tbl" displayName="state_tbl" ref="A1:B5" totalsRowShown="0" headerRowDxfId="6">
  <autoFilter ref="A1:B5"/>
  <tableColumns count="2">
    <tableColumn id="1" name="State" dataDxfId="8"/>
    <tableColumn id="2" name="state_ID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_tbl" displayName="payment_tbl" ref="A1:B6" totalsRowShown="0" headerRowDxfId="2" dataDxfId="3">
  <autoFilter ref="A1:B6"/>
  <tableColumns count="2">
    <tableColumn id="1" name="Payment" dataDxfId="5"/>
    <tableColumn id="2" name="payment_I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6.625" customWidth="1"/>
    <col min="2" max="2" width="10.625" customWidth="1"/>
    <col min="3" max="3" width="43.125" customWidth="1"/>
    <col min="4" max="5" width="16.875" customWidth="1"/>
    <col min="6" max="6" width="8.375" customWidth="1"/>
    <col min="7" max="7" width="8.125" customWidth="1"/>
    <col min="8" max="8" width="7.125" customWidth="1"/>
    <col min="9" max="9" width="11.875" customWidth="1"/>
    <col min="10" max="26" width="11" customWidth="1"/>
  </cols>
  <sheetData>
    <row r="1" spans="1:26" ht="15.75" customHeight="1" x14ac:dyDescent="0.25"/>
    <row r="2" spans="1:26" ht="15.75" customHeight="1" x14ac:dyDescent="0.25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B3" s="2">
        <v>45076</v>
      </c>
      <c r="C3" s="3" t="s">
        <v>8</v>
      </c>
      <c r="D3" s="3" t="s">
        <v>9</v>
      </c>
      <c r="E3" s="3" t="s">
        <v>10</v>
      </c>
      <c r="F3" s="3" t="s">
        <v>11</v>
      </c>
      <c r="G3" s="4">
        <v>4500</v>
      </c>
      <c r="H3" s="4">
        <v>598</v>
      </c>
      <c r="I3" s="5">
        <f t="shared" ref="I3:I33" si="0">H3/G3</f>
        <v>0.13288888888888889</v>
      </c>
    </row>
    <row r="4" spans="1:26" ht="15.75" customHeight="1" x14ac:dyDescent="0.25">
      <c r="B4" s="2">
        <v>45076</v>
      </c>
      <c r="C4" s="3" t="s">
        <v>12</v>
      </c>
      <c r="D4" s="3" t="s">
        <v>13</v>
      </c>
      <c r="E4" s="3" t="s">
        <v>14</v>
      </c>
      <c r="F4" s="3" t="s">
        <v>15</v>
      </c>
      <c r="G4" s="4">
        <v>3800</v>
      </c>
      <c r="H4" s="4">
        <v>1045</v>
      </c>
      <c r="I4" s="5">
        <f t="shared" si="0"/>
        <v>0.27500000000000002</v>
      </c>
    </row>
    <row r="5" spans="1:26" ht="15.75" customHeight="1" x14ac:dyDescent="0.25">
      <c r="B5" s="2">
        <v>45076</v>
      </c>
      <c r="C5" s="3" t="s">
        <v>16</v>
      </c>
      <c r="D5" s="3" t="s">
        <v>17</v>
      </c>
      <c r="E5" s="3" t="s">
        <v>14</v>
      </c>
      <c r="G5" s="4">
        <v>3712.5</v>
      </c>
      <c r="H5" s="4">
        <v>1009</v>
      </c>
      <c r="I5" s="5">
        <f t="shared" si="0"/>
        <v>0.2717845117845118</v>
      </c>
    </row>
    <row r="6" spans="1:26" ht="15.75" customHeight="1" x14ac:dyDescent="0.25">
      <c r="B6" s="2">
        <v>45076</v>
      </c>
      <c r="C6" s="3" t="s">
        <v>18</v>
      </c>
      <c r="D6" s="3" t="s">
        <v>19</v>
      </c>
      <c r="E6" s="3" t="s">
        <v>20</v>
      </c>
      <c r="G6" s="4"/>
      <c r="H6" s="4">
        <v>779</v>
      </c>
      <c r="I6" s="5" t="e">
        <f t="shared" si="0"/>
        <v>#DIV/0!</v>
      </c>
    </row>
    <row r="7" spans="1:26" ht="15.75" customHeight="1" x14ac:dyDescent="0.25">
      <c r="B7" s="2">
        <v>45076</v>
      </c>
      <c r="C7" s="3" t="s">
        <v>21</v>
      </c>
      <c r="D7" s="3" t="s">
        <v>22</v>
      </c>
      <c r="E7" s="3" t="s">
        <v>20</v>
      </c>
      <c r="F7" s="3" t="s">
        <v>23</v>
      </c>
      <c r="G7" s="4">
        <v>5000</v>
      </c>
      <c r="H7" s="4">
        <v>684</v>
      </c>
      <c r="I7" s="5">
        <f t="shared" si="0"/>
        <v>0.1368</v>
      </c>
    </row>
    <row r="8" spans="1:26" ht="15.75" customHeight="1" x14ac:dyDescent="0.25">
      <c r="B8" s="2">
        <v>45077</v>
      </c>
      <c r="C8" s="3" t="s">
        <v>24</v>
      </c>
      <c r="D8" s="3" t="s">
        <v>25</v>
      </c>
      <c r="E8" s="3" t="s">
        <v>10</v>
      </c>
      <c r="F8" s="3" t="s">
        <v>11</v>
      </c>
      <c r="G8" s="4">
        <v>6100</v>
      </c>
      <c r="H8" s="4">
        <v>544</v>
      </c>
      <c r="I8" s="5">
        <f t="shared" si="0"/>
        <v>8.9180327868852466E-2</v>
      </c>
    </row>
    <row r="9" spans="1:26" ht="15.75" customHeight="1" x14ac:dyDescent="0.25">
      <c r="B9" s="2">
        <v>45077</v>
      </c>
      <c r="C9" s="3" t="s">
        <v>26</v>
      </c>
      <c r="D9" s="3" t="s">
        <v>27</v>
      </c>
      <c r="E9" s="3" t="s">
        <v>10</v>
      </c>
      <c r="F9" s="3" t="s">
        <v>11</v>
      </c>
      <c r="G9" s="4">
        <v>4625</v>
      </c>
      <c r="H9" s="4">
        <v>670</v>
      </c>
      <c r="I9" s="5">
        <f t="shared" si="0"/>
        <v>0.14486486486486486</v>
      </c>
    </row>
    <row r="10" spans="1:26" ht="15.75" customHeight="1" x14ac:dyDescent="0.25">
      <c r="B10" s="2">
        <v>45077</v>
      </c>
      <c r="C10" s="3" t="s">
        <v>28</v>
      </c>
      <c r="D10" s="3" t="s">
        <v>29</v>
      </c>
      <c r="E10" s="3" t="s">
        <v>10</v>
      </c>
      <c r="F10" s="3" t="s">
        <v>11</v>
      </c>
      <c r="G10" s="4">
        <v>3800</v>
      </c>
      <c r="H10" s="4">
        <v>2045</v>
      </c>
      <c r="I10" s="5">
        <f t="shared" si="0"/>
        <v>0.53815789473684206</v>
      </c>
    </row>
    <row r="11" spans="1:26" ht="15.75" customHeight="1" x14ac:dyDescent="0.25">
      <c r="B11" s="2">
        <v>45077</v>
      </c>
      <c r="C11" s="3" t="s">
        <v>30</v>
      </c>
      <c r="D11" s="3" t="s">
        <v>31</v>
      </c>
      <c r="E11" s="3" t="s">
        <v>10</v>
      </c>
      <c r="F11" s="3" t="s">
        <v>32</v>
      </c>
      <c r="G11" s="4">
        <v>3600</v>
      </c>
      <c r="H11" s="4">
        <v>1564</v>
      </c>
      <c r="I11" s="5">
        <f t="shared" si="0"/>
        <v>0.43444444444444447</v>
      </c>
    </row>
    <row r="12" spans="1:26" ht="15.75" customHeight="1" x14ac:dyDescent="0.25">
      <c r="B12" s="2">
        <v>45077</v>
      </c>
      <c r="C12" s="3" t="s">
        <v>33</v>
      </c>
      <c r="D12" s="3" t="s">
        <v>34</v>
      </c>
      <c r="E12" s="3" t="s">
        <v>10</v>
      </c>
      <c r="F12" s="3" t="s">
        <v>23</v>
      </c>
      <c r="G12" s="4">
        <v>5100</v>
      </c>
      <c r="H12" s="4">
        <v>1220</v>
      </c>
      <c r="I12" s="5">
        <f t="shared" si="0"/>
        <v>0.23921568627450981</v>
      </c>
    </row>
    <row r="13" spans="1:26" ht="15.75" customHeight="1" x14ac:dyDescent="0.25">
      <c r="B13" s="2">
        <v>45077</v>
      </c>
      <c r="C13" s="3" t="s">
        <v>35</v>
      </c>
      <c r="D13" s="3" t="s">
        <v>36</v>
      </c>
      <c r="E13" s="3" t="s">
        <v>10</v>
      </c>
      <c r="F13" s="3" t="s">
        <v>23</v>
      </c>
      <c r="G13" s="4">
        <v>4750</v>
      </c>
      <c r="H13" s="4">
        <v>1435</v>
      </c>
      <c r="I13" s="5">
        <f t="shared" si="0"/>
        <v>0.30210526315789471</v>
      </c>
    </row>
    <row r="14" spans="1:26" ht="15.75" customHeight="1" x14ac:dyDescent="0.25">
      <c r="B14" s="2">
        <v>45077</v>
      </c>
      <c r="C14" s="3" t="s">
        <v>37</v>
      </c>
      <c r="D14" s="3" t="s">
        <v>38</v>
      </c>
      <c r="E14" s="3" t="s">
        <v>20</v>
      </c>
      <c r="F14" s="3" t="s">
        <v>11</v>
      </c>
      <c r="G14" s="4">
        <v>6000</v>
      </c>
      <c r="H14" s="4">
        <v>998</v>
      </c>
      <c r="I14" s="5">
        <f t="shared" si="0"/>
        <v>0.16633333333333333</v>
      </c>
    </row>
    <row r="15" spans="1:26" ht="15.75" customHeight="1" x14ac:dyDescent="0.25">
      <c r="B15" s="2">
        <v>45077</v>
      </c>
      <c r="C15" s="3" t="s">
        <v>39</v>
      </c>
      <c r="D15" s="3" t="s">
        <v>40</v>
      </c>
      <c r="E15" s="3" t="s">
        <v>41</v>
      </c>
      <c r="F15" s="3" t="s">
        <v>23</v>
      </c>
      <c r="G15" s="4">
        <v>4500</v>
      </c>
      <c r="H15" s="4">
        <v>780</v>
      </c>
      <c r="I15" s="5">
        <f t="shared" si="0"/>
        <v>0.17333333333333334</v>
      </c>
    </row>
    <row r="16" spans="1:26" ht="15.75" customHeight="1" x14ac:dyDescent="0.25">
      <c r="B16" s="2">
        <v>45078</v>
      </c>
      <c r="C16" s="3" t="s">
        <v>42</v>
      </c>
      <c r="D16" s="3" t="s">
        <v>43</v>
      </c>
      <c r="E16" s="3" t="s">
        <v>41</v>
      </c>
      <c r="F16" s="3" t="s">
        <v>32</v>
      </c>
      <c r="G16" s="4"/>
      <c r="H16" s="4">
        <v>1044</v>
      </c>
      <c r="I16" s="5" t="e">
        <f t="shared" si="0"/>
        <v>#DIV/0!</v>
      </c>
    </row>
    <row r="17" spans="2:9" ht="15.75" customHeight="1" x14ac:dyDescent="0.25">
      <c r="B17" s="2">
        <v>45078</v>
      </c>
      <c r="C17" s="3" t="s">
        <v>44</v>
      </c>
      <c r="D17" s="3" t="s">
        <v>45</v>
      </c>
      <c r="E17" s="3" t="s">
        <v>41</v>
      </c>
      <c r="F17" s="3" t="s">
        <v>11</v>
      </c>
      <c r="G17" s="4">
        <v>3712.5</v>
      </c>
      <c r="H17" s="4">
        <v>1222</v>
      </c>
      <c r="I17" s="5">
        <f t="shared" si="0"/>
        <v>0.32915824915824915</v>
      </c>
    </row>
    <row r="18" spans="2:9" ht="15.75" customHeight="1" x14ac:dyDescent="0.25">
      <c r="B18" s="2">
        <v>45078</v>
      </c>
      <c r="C18" s="3" t="s">
        <v>46</v>
      </c>
      <c r="D18" s="3" t="s">
        <v>47</v>
      </c>
      <c r="E18" s="3" t="s">
        <v>41</v>
      </c>
      <c r="F18" s="3" t="s">
        <v>11</v>
      </c>
      <c r="G18" s="4">
        <v>4950</v>
      </c>
      <c r="H18" s="4">
        <v>1065</v>
      </c>
      <c r="I18" s="5">
        <f t="shared" si="0"/>
        <v>0.21515151515151515</v>
      </c>
    </row>
    <row r="19" spans="2:9" ht="15.75" customHeight="1" x14ac:dyDescent="0.25">
      <c r="B19" s="2">
        <v>45078</v>
      </c>
      <c r="C19" s="3" t="s">
        <v>48</v>
      </c>
      <c r="D19" s="3" t="s">
        <v>49</v>
      </c>
      <c r="E19" s="3" t="s">
        <v>20</v>
      </c>
      <c r="F19" s="3" t="s">
        <v>11</v>
      </c>
      <c r="G19" s="4">
        <v>4750</v>
      </c>
      <c r="H19" s="4">
        <v>810</v>
      </c>
      <c r="I19" s="5">
        <f t="shared" si="0"/>
        <v>0.17052631578947369</v>
      </c>
    </row>
    <row r="20" spans="2:9" ht="15.75" customHeight="1" x14ac:dyDescent="0.25">
      <c r="B20" s="2">
        <v>45078</v>
      </c>
      <c r="C20" s="3" t="s">
        <v>50</v>
      </c>
      <c r="D20" s="3" t="s">
        <v>51</v>
      </c>
      <c r="E20" s="3" t="s">
        <v>20</v>
      </c>
      <c r="F20" s="3" t="s">
        <v>11</v>
      </c>
      <c r="G20" s="4">
        <v>7320</v>
      </c>
      <c r="H20" s="4">
        <v>933</v>
      </c>
      <c r="I20" s="5">
        <f t="shared" si="0"/>
        <v>0.12745901639344262</v>
      </c>
    </row>
    <row r="21" spans="2:9" ht="15.75" customHeight="1" x14ac:dyDescent="0.25">
      <c r="B21" s="2">
        <v>45077</v>
      </c>
      <c r="C21" s="3" t="s">
        <v>37</v>
      </c>
      <c r="D21" s="3" t="s">
        <v>38</v>
      </c>
      <c r="E21" s="3" t="s">
        <v>20</v>
      </c>
      <c r="F21" s="3" t="s">
        <v>11</v>
      </c>
      <c r="G21" s="4">
        <v>6000</v>
      </c>
      <c r="H21" s="4">
        <v>998</v>
      </c>
      <c r="I21" s="5">
        <f t="shared" si="0"/>
        <v>0.16633333333333333</v>
      </c>
    </row>
    <row r="22" spans="2:9" ht="15.75" customHeight="1" x14ac:dyDescent="0.25">
      <c r="B22" s="2">
        <v>45077</v>
      </c>
      <c r="C22" s="3" t="s">
        <v>39</v>
      </c>
      <c r="D22" s="3" t="s">
        <v>40</v>
      </c>
      <c r="E22" s="3" t="s">
        <v>41</v>
      </c>
      <c r="F22" s="3" t="s">
        <v>23</v>
      </c>
      <c r="G22" s="4">
        <v>4500</v>
      </c>
      <c r="H22" s="4">
        <v>780</v>
      </c>
      <c r="I22" s="5">
        <f t="shared" si="0"/>
        <v>0.17333333333333334</v>
      </c>
    </row>
    <row r="23" spans="2:9" ht="15.75" customHeight="1" x14ac:dyDescent="0.25">
      <c r="B23" s="2">
        <v>45078</v>
      </c>
      <c r="C23" s="3" t="s">
        <v>52</v>
      </c>
      <c r="D23" s="3" t="s">
        <v>53</v>
      </c>
      <c r="E23" s="3" t="s">
        <v>41</v>
      </c>
      <c r="F23" s="3" t="s">
        <v>11</v>
      </c>
      <c r="G23" s="4">
        <v>5087.5</v>
      </c>
      <c r="H23" s="4">
        <v>655</v>
      </c>
      <c r="I23" s="5">
        <f t="shared" si="0"/>
        <v>0.12874692874692875</v>
      </c>
    </row>
    <row r="24" spans="2:9" ht="15.75" customHeight="1" x14ac:dyDescent="0.25">
      <c r="B24" s="2">
        <v>45078</v>
      </c>
      <c r="C24" s="3" t="s">
        <v>54</v>
      </c>
      <c r="D24" s="3" t="s">
        <v>55</v>
      </c>
      <c r="E24" s="3" t="s">
        <v>41</v>
      </c>
      <c r="F24" s="3" t="s">
        <v>11</v>
      </c>
      <c r="G24" s="4">
        <v>4500</v>
      </c>
      <c r="H24" s="4">
        <v>722</v>
      </c>
      <c r="I24" s="5">
        <f t="shared" si="0"/>
        <v>0.16044444444444445</v>
      </c>
    </row>
    <row r="25" spans="2:9" ht="15.75" customHeight="1" x14ac:dyDescent="0.25">
      <c r="B25" s="2">
        <v>45078</v>
      </c>
      <c r="C25" s="3" t="s">
        <v>56</v>
      </c>
      <c r="D25" s="3" t="s">
        <v>57</v>
      </c>
      <c r="E25" s="3" t="s">
        <v>41</v>
      </c>
      <c r="F25" s="3" t="s">
        <v>32</v>
      </c>
      <c r="G25" s="4">
        <v>4250</v>
      </c>
      <c r="H25" s="4">
        <v>901</v>
      </c>
      <c r="I25" s="5">
        <f t="shared" si="0"/>
        <v>0.21199999999999999</v>
      </c>
    </row>
    <row r="26" spans="2:9" ht="15.75" customHeight="1" x14ac:dyDescent="0.25">
      <c r="B26" s="2">
        <v>45079</v>
      </c>
      <c r="C26" s="3" t="s">
        <v>58</v>
      </c>
      <c r="D26" s="3" t="s">
        <v>59</v>
      </c>
      <c r="E26" s="3" t="s">
        <v>41</v>
      </c>
      <c r="F26" s="3" t="s">
        <v>15</v>
      </c>
      <c r="G26" s="4">
        <v>5250</v>
      </c>
      <c r="H26" s="4">
        <v>1349</v>
      </c>
      <c r="I26" s="5">
        <f t="shared" si="0"/>
        <v>0.25695238095238093</v>
      </c>
    </row>
    <row r="27" spans="2:9" ht="15.75" customHeight="1" x14ac:dyDescent="0.25">
      <c r="B27" s="2">
        <v>45079</v>
      </c>
      <c r="C27" s="3" t="s">
        <v>60</v>
      </c>
      <c r="D27" s="3" t="s">
        <v>61</v>
      </c>
      <c r="E27" s="3" t="s">
        <v>14</v>
      </c>
      <c r="F27" s="3" t="s">
        <v>15</v>
      </c>
      <c r="G27" s="4">
        <v>6500</v>
      </c>
      <c r="H27" s="4">
        <v>1288</v>
      </c>
      <c r="I27" s="5">
        <f t="shared" si="0"/>
        <v>0.19815384615384615</v>
      </c>
    </row>
    <row r="28" spans="2:9" ht="15.75" customHeight="1" x14ac:dyDescent="0.25">
      <c r="B28" s="2">
        <v>45079</v>
      </c>
      <c r="C28" s="3" t="s">
        <v>62</v>
      </c>
      <c r="D28" s="3" t="s">
        <v>63</v>
      </c>
      <c r="E28" s="3" t="s">
        <v>14</v>
      </c>
      <c r="F28" s="3" t="s">
        <v>15</v>
      </c>
      <c r="G28" s="4">
        <v>7500</v>
      </c>
      <c r="H28" s="4">
        <v>1664</v>
      </c>
      <c r="I28" s="5">
        <f t="shared" si="0"/>
        <v>0.22186666666666666</v>
      </c>
    </row>
    <row r="29" spans="2:9" ht="15.75" customHeight="1" x14ac:dyDescent="0.25">
      <c r="B29" s="2">
        <v>45079</v>
      </c>
      <c r="C29" s="3" t="s">
        <v>64</v>
      </c>
      <c r="D29" s="3" t="s">
        <v>65</v>
      </c>
      <c r="E29" s="3" t="s">
        <v>14</v>
      </c>
      <c r="F29" s="3" t="s">
        <v>11</v>
      </c>
      <c r="G29" s="4">
        <v>5500</v>
      </c>
      <c r="H29" s="4">
        <v>1320</v>
      </c>
      <c r="I29" s="5">
        <f t="shared" si="0"/>
        <v>0.24</v>
      </c>
    </row>
    <row r="30" spans="2:9" ht="15.75" customHeight="1" x14ac:dyDescent="0.25">
      <c r="B30" s="2">
        <v>45079</v>
      </c>
      <c r="C30" s="3" t="s">
        <v>66</v>
      </c>
      <c r="D30" s="3" t="s">
        <v>67</v>
      </c>
      <c r="E30" s="3" t="s">
        <v>14</v>
      </c>
      <c r="F30" s="3" t="s">
        <v>11</v>
      </c>
      <c r="G30" s="4">
        <v>4625</v>
      </c>
      <c r="H30" s="4">
        <v>1001</v>
      </c>
      <c r="I30" s="5">
        <f t="shared" si="0"/>
        <v>0.21643243243243243</v>
      </c>
    </row>
    <row r="31" spans="2:9" ht="15.75" customHeight="1" x14ac:dyDescent="0.25">
      <c r="B31" s="2">
        <v>45079</v>
      </c>
      <c r="C31" s="3" t="s">
        <v>68</v>
      </c>
      <c r="D31" s="3" t="s">
        <v>69</v>
      </c>
      <c r="E31" s="3" t="s">
        <v>14</v>
      </c>
      <c r="F31" s="3" t="s">
        <v>11</v>
      </c>
      <c r="G31" s="4">
        <v>4500</v>
      </c>
      <c r="H31" s="4">
        <v>960</v>
      </c>
      <c r="I31" s="5">
        <f t="shared" si="0"/>
        <v>0.21333333333333335</v>
      </c>
    </row>
    <row r="32" spans="2:9" ht="15.75" customHeight="1" x14ac:dyDescent="0.25">
      <c r="B32" s="2">
        <v>45079</v>
      </c>
      <c r="C32" s="3" t="s">
        <v>70</v>
      </c>
      <c r="D32" s="3" t="s">
        <v>71</v>
      </c>
      <c r="E32" s="3" t="s">
        <v>14</v>
      </c>
      <c r="F32" s="3" t="s">
        <v>32</v>
      </c>
      <c r="G32" s="4">
        <v>5400</v>
      </c>
      <c r="H32" s="4">
        <v>540</v>
      </c>
      <c r="I32" s="5">
        <f t="shared" si="0"/>
        <v>0.1</v>
      </c>
    </row>
    <row r="33" spans="2:9" ht="15.75" customHeight="1" x14ac:dyDescent="0.25">
      <c r="B33" s="2">
        <v>45076</v>
      </c>
      <c r="C33" s="3" t="s">
        <v>21</v>
      </c>
      <c r="D33" s="3" t="s">
        <v>22</v>
      </c>
      <c r="E33" s="3" t="s">
        <v>20</v>
      </c>
      <c r="F33" s="3" t="s">
        <v>23</v>
      </c>
      <c r="G33" s="4">
        <v>5000</v>
      </c>
      <c r="H33" s="4">
        <v>684</v>
      </c>
      <c r="I33" s="5">
        <f t="shared" si="0"/>
        <v>0.1368</v>
      </c>
    </row>
    <row r="34" spans="2:9" ht="15.75" customHeight="1" x14ac:dyDescent="0.25">
      <c r="G34" s="4"/>
    </row>
    <row r="35" spans="2:9" ht="15.75" customHeight="1" x14ac:dyDescent="0.25">
      <c r="G35" s="4"/>
    </row>
    <row r="36" spans="2:9" ht="15.75" customHeight="1" x14ac:dyDescent="0.25">
      <c r="G36" s="4"/>
    </row>
    <row r="37" spans="2:9" ht="15.75" customHeight="1" x14ac:dyDescent="0.25">
      <c r="G37" s="4"/>
    </row>
    <row r="38" spans="2:9" ht="15.75" customHeight="1" x14ac:dyDescent="0.25">
      <c r="G38" s="4"/>
    </row>
    <row r="39" spans="2:9" ht="15.75" customHeight="1" x14ac:dyDescent="0.25">
      <c r="G39" s="4"/>
    </row>
    <row r="40" spans="2:9" ht="15.75" customHeight="1" x14ac:dyDescent="0.25">
      <c r="G40" s="4"/>
    </row>
    <row r="41" spans="2:9" ht="15.75" customHeight="1" x14ac:dyDescent="0.25">
      <c r="G41" s="4"/>
    </row>
    <row r="42" spans="2:9" ht="15.75" customHeight="1" x14ac:dyDescent="0.25">
      <c r="G42" s="4"/>
    </row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workbookViewId="0">
      <selection activeCell="A3" sqref="A3"/>
    </sheetView>
  </sheetViews>
  <sheetFormatPr defaultColWidth="11.25" defaultRowHeight="15" customHeight="1" x14ac:dyDescent="0.25"/>
  <cols>
    <col min="1" max="2" width="10.625" customWidth="1"/>
    <col min="3" max="3" width="15.375" customWidth="1"/>
    <col min="4" max="4" width="19.75" customWidth="1"/>
    <col min="5" max="5" width="16.875" customWidth="1"/>
    <col min="6" max="6" width="15" customWidth="1"/>
    <col min="7" max="7" width="12.5" customWidth="1"/>
    <col min="8" max="8" width="14.875" customWidth="1"/>
    <col min="9" max="9" width="11.875" customWidth="1"/>
    <col min="10" max="22" width="11" customWidth="1"/>
  </cols>
  <sheetData>
    <row r="1" spans="1:22" ht="15.75" customHeight="1" x14ac:dyDescent="0.25">
      <c r="A1" s="11" t="s">
        <v>208</v>
      </c>
      <c r="B1" s="11" t="s">
        <v>0</v>
      </c>
      <c r="C1" s="11" t="s">
        <v>72</v>
      </c>
      <c r="D1" s="11" t="s">
        <v>73</v>
      </c>
      <c r="E1" s="11" t="s">
        <v>74</v>
      </c>
      <c r="F1" s="11" t="s">
        <v>76</v>
      </c>
      <c r="G1" s="11" t="s">
        <v>5</v>
      </c>
      <c r="H1" s="11" t="s">
        <v>6</v>
      </c>
      <c r="I1" s="1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6.5" customHeight="1" x14ac:dyDescent="0.25">
      <c r="A2" s="10" t="s">
        <v>179</v>
      </c>
      <c r="B2" s="2">
        <v>45076</v>
      </c>
      <c r="C2" s="10" t="s">
        <v>138</v>
      </c>
      <c r="D2" s="9" t="s">
        <v>167</v>
      </c>
      <c r="E2" s="9" t="s">
        <v>173</v>
      </c>
      <c r="F2" s="9" t="s">
        <v>178</v>
      </c>
      <c r="G2" s="7">
        <v>4500</v>
      </c>
      <c r="H2" s="7">
        <v>598</v>
      </c>
      <c r="I2" s="5">
        <f t="shared" ref="I2:I29" si="0">IFERROR(H2/G2,0)</f>
        <v>0.13288888888888889</v>
      </c>
    </row>
    <row r="3" spans="1:22" ht="15.75" customHeight="1" x14ac:dyDescent="0.25">
      <c r="A3" s="10" t="s">
        <v>180</v>
      </c>
      <c r="B3" s="2">
        <v>45076</v>
      </c>
      <c r="C3" s="10" t="s">
        <v>139</v>
      </c>
      <c r="D3" s="9" t="s">
        <v>169</v>
      </c>
      <c r="E3" s="9" t="s">
        <v>172</v>
      </c>
      <c r="F3" s="9" t="s">
        <v>177</v>
      </c>
      <c r="G3" s="7">
        <v>3800</v>
      </c>
      <c r="H3" s="7">
        <v>1045</v>
      </c>
      <c r="I3" s="5">
        <f t="shared" si="0"/>
        <v>0.27500000000000002</v>
      </c>
    </row>
    <row r="4" spans="1:22" ht="15.75" customHeight="1" x14ac:dyDescent="0.25">
      <c r="A4" s="10" t="s">
        <v>181</v>
      </c>
      <c r="B4" s="2">
        <v>45076</v>
      </c>
      <c r="C4" s="10" t="s">
        <v>140</v>
      </c>
      <c r="D4" s="9" t="s">
        <v>169</v>
      </c>
      <c r="E4" s="9" t="s">
        <v>172</v>
      </c>
      <c r="F4" s="9" t="s">
        <v>176</v>
      </c>
      <c r="G4" s="7">
        <v>3712.5</v>
      </c>
      <c r="H4" s="7">
        <v>1009</v>
      </c>
      <c r="I4" s="5">
        <f t="shared" si="0"/>
        <v>0.2717845117845118</v>
      </c>
    </row>
    <row r="5" spans="1:22" ht="15.75" customHeight="1" x14ac:dyDescent="0.25">
      <c r="A5" s="10" t="s">
        <v>182</v>
      </c>
      <c r="B5" s="2">
        <v>45076</v>
      </c>
      <c r="C5" s="10" t="s">
        <v>141</v>
      </c>
      <c r="D5" s="9" t="s">
        <v>168</v>
      </c>
      <c r="E5" s="9" t="s">
        <v>171</v>
      </c>
      <c r="F5" s="9" t="s">
        <v>176</v>
      </c>
      <c r="G5" s="7">
        <v>4994</v>
      </c>
      <c r="H5" s="7">
        <v>779</v>
      </c>
      <c r="I5" s="5">
        <f t="shared" si="0"/>
        <v>0.15598718462154584</v>
      </c>
    </row>
    <row r="6" spans="1:22" ht="15.75" customHeight="1" x14ac:dyDescent="0.25">
      <c r="A6" s="10" t="s">
        <v>183</v>
      </c>
      <c r="B6" s="2">
        <v>45076</v>
      </c>
      <c r="C6" s="10" t="s">
        <v>142</v>
      </c>
      <c r="D6" s="9" t="s">
        <v>168</v>
      </c>
      <c r="E6" s="9" t="s">
        <v>171</v>
      </c>
      <c r="F6" s="9" t="s">
        <v>175</v>
      </c>
      <c r="G6" s="7">
        <v>5000</v>
      </c>
      <c r="H6" s="7">
        <v>684</v>
      </c>
      <c r="I6" s="5">
        <f t="shared" si="0"/>
        <v>0.1368</v>
      </c>
    </row>
    <row r="7" spans="1:22" ht="15.75" customHeight="1" x14ac:dyDescent="0.25">
      <c r="A7" s="10" t="s">
        <v>184</v>
      </c>
      <c r="B7" s="2">
        <v>45077</v>
      </c>
      <c r="C7" s="10" t="s">
        <v>143</v>
      </c>
      <c r="D7" s="9" t="s">
        <v>167</v>
      </c>
      <c r="E7" s="9" t="s">
        <v>173</v>
      </c>
      <c r="F7" s="9" t="s">
        <v>178</v>
      </c>
      <c r="G7" s="7">
        <v>6100</v>
      </c>
      <c r="H7" s="7">
        <v>544</v>
      </c>
      <c r="I7" s="5">
        <f t="shared" si="0"/>
        <v>8.9180327868852466E-2</v>
      </c>
    </row>
    <row r="8" spans="1:22" ht="15.75" customHeight="1" x14ac:dyDescent="0.25">
      <c r="A8" s="10" t="s">
        <v>185</v>
      </c>
      <c r="B8" s="2">
        <v>45077</v>
      </c>
      <c r="C8" s="10" t="s">
        <v>144</v>
      </c>
      <c r="D8" s="9" t="s">
        <v>167</v>
      </c>
      <c r="E8" s="9" t="s">
        <v>173</v>
      </c>
      <c r="F8" s="9" t="s">
        <v>178</v>
      </c>
      <c r="G8" s="7">
        <v>4625</v>
      </c>
      <c r="H8" s="7">
        <v>670</v>
      </c>
      <c r="I8" s="5">
        <f t="shared" si="0"/>
        <v>0.14486486486486486</v>
      </c>
    </row>
    <row r="9" spans="1:22" ht="15.75" customHeight="1" x14ac:dyDescent="0.25">
      <c r="A9" s="10" t="s">
        <v>186</v>
      </c>
      <c r="B9" s="2">
        <v>45077</v>
      </c>
      <c r="C9" s="10" t="s">
        <v>145</v>
      </c>
      <c r="D9" s="9" t="s">
        <v>167</v>
      </c>
      <c r="E9" s="9" t="s">
        <v>173</v>
      </c>
      <c r="F9" s="9" t="s">
        <v>178</v>
      </c>
      <c r="G9" s="7">
        <v>3800</v>
      </c>
      <c r="H9" s="7">
        <v>2045</v>
      </c>
      <c r="I9" s="5">
        <f t="shared" si="0"/>
        <v>0.53815789473684206</v>
      </c>
    </row>
    <row r="10" spans="1:22" ht="15.75" customHeight="1" x14ac:dyDescent="0.25">
      <c r="A10" s="10" t="s">
        <v>187</v>
      </c>
      <c r="B10" s="2">
        <v>45077</v>
      </c>
      <c r="C10" s="10" t="s">
        <v>146</v>
      </c>
      <c r="D10" s="9" t="s">
        <v>167</v>
      </c>
      <c r="E10" s="9" t="s">
        <v>173</v>
      </c>
      <c r="F10" s="9" t="s">
        <v>174</v>
      </c>
      <c r="G10" s="7">
        <v>3600</v>
      </c>
      <c r="H10" s="7">
        <v>1564</v>
      </c>
      <c r="I10" s="5">
        <f t="shared" si="0"/>
        <v>0.43444444444444447</v>
      </c>
    </row>
    <row r="11" spans="1:22" ht="15.75" customHeight="1" x14ac:dyDescent="0.25">
      <c r="A11" s="10" t="s">
        <v>188</v>
      </c>
      <c r="B11" s="2">
        <v>45077</v>
      </c>
      <c r="C11" s="10" t="s">
        <v>147</v>
      </c>
      <c r="D11" s="9" t="s">
        <v>167</v>
      </c>
      <c r="E11" s="9" t="s">
        <v>173</v>
      </c>
      <c r="F11" s="9" t="s">
        <v>175</v>
      </c>
      <c r="G11" s="7">
        <v>5100</v>
      </c>
      <c r="H11" s="7">
        <v>1220</v>
      </c>
      <c r="I11" s="5">
        <f t="shared" si="0"/>
        <v>0.23921568627450981</v>
      </c>
    </row>
    <row r="12" spans="1:22" ht="15.75" customHeight="1" x14ac:dyDescent="0.25">
      <c r="A12" s="10" t="s">
        <v>189</v>
      </c>
      <c r="B12" s="2">
        <v>45077</v>
      </c>
      <c r="C12" s="10" t="s">
        <v>148</v>
      </c>
      <c r="D12" s="9" t="s">
        <v>167</v>
      </c>
      <c r="E12" s="9" t="s">
        <v>173</v>
      </c>
      <c r="F12" s="9" t="s">
        <v>175</v>
      </c>
      <c r="G12" s="7">
        <v>4750</v>
      </c>
      <c r="H12" s="7">
        <v>1435</v>
      </c>
      <c r="I12" s="5">
        <f t="shared" si="0"/>
        <v>0.30210526315789471</v>
      </c>
    </row>
    <row r="13" spans="1:22" ht="15.75" customHeight="1" x14ac:dyDescent="0.25">
      <c r="A13" s="10" t="s">
        <v>190</v>
      </c>
      <c r="B13" s="2">
        <v>45077</v>
      </c>
      <c r="C13" s="10" t="s">
        <v>149</v>
      </c>
      <c r="D13" s="9" t="s">
        <v>168</v>
      </c>
      <c r="E13" s="9" t="s">
        <v>171</v>
      </c>
      <c r="F13" s="9" t="s">
        <v>178</v>
      </c>
      <c r="G13" s="7">
        <v>6000</v>
      </c>
      <c r="H13" s="7">
        <v>998</v>
      </c>
      <c r="I13" s="5">
        <f t="shared" si="0"/>
        <v>0.16633333333333333</v>
      </c>
    </row>
    <row r="14" spans="1:22" ht="15.75" customHeight="1" x14ac:dyDescent="0.25">
      <c r="A14" s="10" t="s">
        <v>191</v>
      </c>
      <c r="B14" s="2">
        <v>45077</v>
      </c>
      <c r="C14" s="10" t="s">
        <v>150</v>
      </c>
      <c r="D14" s="9" t="s">
        <v>166</v>
      </c>
      <c r="E14" s="9" t="s">
        <v>170</v>
      </c>
      <c r="F14" s="9" t="s">
        <v>175</v>
      </c>
      <c r="G14" s="7">
        <v>4500</v>
      </c>
      <c r="H14" s="7">
        <v>780</v>
      </c>
      <c r="I14" s="5">
        <f t="shared" si="0"/>
        <v>0.17333333333333334</v>
      </c>
      <c r="J14" s="3"/>
    </row>
    <row r="15" spans="1:22" ht="15.75" customHeight="1" x14ac:dyDescent="0.25">
      <c r="A15" s="10" t="s">
        <v>192</v>
      </c>
      <c r="B15" s="2">
        <v>45078</v>
      </c>
      <c r="C15" s="10" t="s">
        <v>151</v>
      </c>
      <c r="D15" s="9" t="s">
        <v>166</v>
      </c>
      <c r="E15" s="9" t="s">
        <v>170</v>
      </c>
      <c r="F15" s="9" t="s">
        <v>174</v>
      </c>
      <c r="G15" s="7">
        <v>4994</v>
      </c>
      <c r="H15" s="7">
        <v>1044</v>
      </c>
      <c r="I15" s="5">
        <f t="shared" si="0"/>
        <v>0.20905086103323989</v>
      </c>
    </row>
    <row r="16" spans="1:22" ht="15.75" customHeight="1" x14ac:dyDescent="0.25">
      <c r="A16" s="10" t="s">
        <v>193</v>
      </c>
      <c r="B16" s="2">
        <v>45078</v>
      </c>
      <c r="C16" s="10" t="s">
        <v>152</v>
      </c>
      <c r="D16" s="9" t="s">
        <v>166</v>
      </c>
      <c r="E16" s="9" t="s">
        <v>170</v>
      </c>
      <c r="F16" s="9" t="s">
        <v>178</v>
      </c>
      <c r="G16" s="7">
        <v>3712.5</v>
      </c>
      <c r="H16" s="7">
        <v>1222</v>
      </c>
      <c r="I16" s="5">
        <f t="shared" si="0"/>
        <v>0.32915824915824915</v>
      </c>
    </row>
    <row r="17" spans="1:9" ht="15.75" customHeight="1" x14ac:dyDescent="0.25">
      <c r="A17" s="10" t="s">
        <v>194</v>
      </c>
      <c r="B17" s="2">
        <v>45078</v>
      </c>
      <c r="C17" s="10" t="s">
        <v>153</v>
      </c>
      <c r="D17" s="9" t="s">
        <v>166</v>
      </c>
      <c r="E17" s="9" t="s">
        <v>170</v>
      </c>
      <c r="F17" s="9" t="s">
        <v>178</v>
      </c>
      <c r="G17" s="7">
        <v>4950</v>
      </c>
      <c r="H17" s="7">
        <v>1065</v>
      </c>
      <c r="I17" s="5">
        <f t="shared" si="0"/>
        <v>0.21515151515151515</v>
      </c>
    </row>
    <row r="18" spans="1:9" ht="15.75" customHeight="1" x14ac:dyDescent="0.25">
      <c r="A18" s="10" t="s">
        <v>195</v>
      </c>
      <c r="B18" s="2">
        <v>45078</v>
      </c>
      <c r="C18" s="10" t="s">
        <v>154</v>
      </c>
      <c r="D18" s="9" t="s">
        <v>168</v>
      </c>
      <c r="E18" s="9" t="s">
        <v>171</v>
      </c>
      <c r="F18" s="9" t="s">
        <v>178</v>
      </c>
      <c r="G18" s="7">
        <v>4750</v>
      </c>
      <c r="H18" s="7">
        <v>810</v>
      </c>
      <c r="I18" s="5">
        <f t="shared" si="0"/>
        <v>0.17052631578947369</v>
      </c>
    </row>
    <row r="19" spans="1:9" ht="15.75" customHeight="1" x14ac:dyDescent="0.25">
      <c r="A19" s="10" t="s">
        <v>196</v>
      </c>
      <c r="B19" s="2">
        <v>45078</v>
      </c>
      <c r="C19" s="10" t="s">
        <v>155</v>
      </c>
      <c r="D19" s="9" t="s">
        <v>168</v>
      </c>
      <c r="E19" s="9" t="s">
        <v>171</v>
      </c>
      <c r="F19" s="9" t="s">
        <v>178</v>
      </c>
      <c r="G19" s="7">
        <v>7320</v>
      </c>
      <c r="H19" s="7">
        <v>933</v>
      </c>
      <c r="I19" s="5">
        <f t="shared" si="0"/>
        <v>0.12745901639344262</v>
      </c>
    </row>
    <row r="20" spans="1:9" ht="15.75" customHeight="1" x14ac:dyDescent="0.25">
      <c r="A20" s="10" t="s">
        <v>197</v>
      </c>
      <c r="B20" s="2">
        <v>45078</v>
      </c>
      <c r="C20" s="10" t="s">
        <v>156</v>
      </c>
      <c r="D20" s="9" t="s">
        <v>166</v>
      </c>
      <c r="E20" s="9" t="s">
        <v>170</v>
      </c>
      <c r="F20" s="9" t="s">
        <v>178</v>
      </c>
      <c r="G20" s="7">
        <v>5087.5</v>
      </c>
      <c r="H20" s="7">
        <v>655</v>
      </c>
      <c r="I20" s="5">
        <f t="shared" si="0"/>
        <v>0.12874692874692875</v>
      </c>
    </row>
    <row r="21" spans="1:9" ht="15.75" customHeight="1" x14ac:dyDescent="0.25">
      <c r="A21" s="10" t="s">
        <v>198</v>
      </c>
      <c r="B21" s="2">
        <v>45078</v>
      </c>
      <c r="C21" s="10" t="s">
        <v>157</v>
      </c>
      <c r="D21" s="9" t="s">
        <v>166</v>
      </c>
      <c r="E21" s="9" t="s">
        <v>170</v>
      </c>
      <c r="F21" s="9" t="s">
        <v>178</v>
      </c>
      <c r="G21" s="7">
        <v>4500</v>
      </c>
      <c r="H21" s="7">
        <v>722</v>
      </c>
      <c r="I21" s="5">
        <f t="shared" si="0"/>
        <v>0.16044444444444445</v>
      </c>
    </row>
    <row r="22" spans="1:9" ht="15.75" customHeight="1" x14ac:dyDescent="0.25">
      <c r="A22" s="10" t="s">
        <v>199</v>
      </c>
      <c r="B22" s="2">
        <v>45078</v>
      </c>
      <c r="C22" s="10" t="s">
        <v>158</v>
      </c>
      <c r="D22" s="9" t="s">
        <v>166</v>
      </c>
      <c r="E22" s="9" t="s">
        <v>170</v>
      </c>
      <c r="F22" s="9" t="s">
        <v>174</v>
      </c>
      <c r="G22" s="7">
        <v>4250</v>
      </c>
      <c r="H22" s="7">
        <v>901</v>
      </c>
      <c r="I22" s="5">
        <f t="shared" si="0"/>
        <v>0.21199999999999999</v>
      </c>
    </row>
    <row r="23" spans="1:9" ht="15.75" customHeight="1" x14ac:dyDescent="0.25">
      <c r="A23" s="10" t="s">
        <v>200</v>
      </c>
      <c r="B23" s="2">
        <v>45079</v>
      </c>
      <c r="C23" s="10" t="s">
        <v>159</v>
      </c>
      <c r="D23" s="9" t="s">
        <v>166</v>
      </c>
      <c r="E23" s="9" t="s">
        <v>170</v>
      </c>
      <c r="F23" s="9" t="s">
        <v>177</v>
      </c>
      <c r="G23" s="7">
        <v>5250</v>
      </c>
      <c r="H23" s="7">
        <v>1349</v>
      </c>
      <c r="I23" s="5">
        <f t="shared" si="0"/>
        <v>0.25695238095238093</v>
      </c>
    </row>
    <row r="24" spans="1:9" ht="15.75" customHeight="1" x14ac:dyDescent="0.25">
      <c r="A24" s="10" t="s">
        <v>201</v>
      </c>
      <c r="B24" s="2">
        <v>45079</v>
      </c>
      <c r="C24" s="10" t="s">
        <v>160</v>
      </c>
      <c r="D24" s="9" t="s">
        <v>169</v>
      </c>
      <c r="E24" s="9" t="s">
        <v>172</v>
      </c>
      <c r="F24" s="9" t="s">
        <v>177</v>
      </c>
      <c r="G24" s="7">
        <v>6500</v>
      </c>
      <c r="H24" s="7">
        <v>1288</v>
      </c>
      <c r="I24" s="5">
        <f t="shared" si="0"/>
        <v>0.19815384615384615</v>
      </c>
    </row>
    <row r="25" spans="1:9" ht="15.75" customHeight="1" x14ac:dyDescent="0.25">
      <c r="A25" s="10" t="s">
        <v>202</v>
      </c>
      <c r="B25" s="2">
        <v>45079</v>
      </c>
      <c r="C25" s="10" t="s">
        <v>161</v>
      </c>
      <c r="D25" s="9" t="s">
        <v>169</v>
      </c>
      <c r="E25" s="9" t="s">
        <v>172</v>
      </c>
      <c r="F25" s="9" t="s">
        <v>177</v>
      </c>
      <c r="G25" s="7">
        <v>7500</v>
      </c>
      <c r="H25" s="7">
        <v>1664</v>
      </c>
      <c r="I25" s="5">
        <f t="shared" si="0"/>
        <v>0.22186666666666666</v>
      </c>
    </row>
    <row r="26" spans="1:9" ht="15.75" customHeight="1" x14ac:dyDescent="0.25">
      <c r="A26" s="10" t="s">
        <v>203</v>
      </c>
      <c r="B26" s="2">
        <v>45079</v>
      </c>
      <c r="C26" s="10" t="s">
        <v>162</v>
      </c>
      <c r="D26" s="9" t="s">
        <v>169</v>
      </c>
      <c r="E26" s="9" t="s">
        <v>172</v>
      </c>
      <c r="F26" s="9" t="s">
        <v>178</v>
      </c>
      <c r="G26" s="7">
        <v>5500</v>
      </c>
      <c r="H26" s="7">
        <v>1320</v>
      </c>
      <c r="I26" s="5">
        <f t="shared" si="0"/>
        <v>0.24</v>
      </c>
    </row>
    <row r="27" spans="1:9" ht="15.75" customHeight="1" x14ac:dyDescent="0.25">
      <c r="A27" s="10" t="s">
        <v>204</v>
      </c>
      <c r="B27" s="2">
        <v>45079</v>
      </c>
      <c r="C27" s="10" t="s">
        <v>163</v>
      </c>
      <c r="D27" s="9" t="s">
        <v>169</v>
      </c>
      <c r="E27" s="9" t="s">
        <v>172</v>
      </c>
      <c r="F27" s="9" t="s">
        <v>178</v>
      </c>
      <c r="G27" s="7">
        <v>4625</v>
      </c>
      <c r="H27" s="7">
        <v>1001</v>
      </c>
      <c r="I27" s="5">
        <f t="shared" si="0"/>
        <v>0.21643243243243243</v>
      </c>
    </row>
    <row r="28" spans="1:9" ht="15.75" customHeight="1" x14ac:dyDescent="0.25">
      <c r="A28" s="10" t="s">
        <v>205</v>
      </c>
      <c r="B28" s="2">
        <v>45079</v>
      </c>
      <c r="C28" s="10" t="s">
        <v>164</v>
      </c>
      <c r="D28" s="9" t="s">
        <v>169</v>
      </c>
      <c r="E28" s="9" t="s">
        <v>172</v>
      </c>
      <c r="F28" s="9" t="s">
        <v>178</v>
      </c>
      <c r="G28" s="7">
        <v>4500</v>
      </c>
      <c r="H28" s="7">
        <v>960</v>
      </c>
      <c r="I28" s="5">
        <f t="shared" si="0"/>
        <v>0.21333333333333335</v>
      </c>
    </row>
    <row r="29" spans="1:9" ht="15.75" customHeight="1" x14ac:dyDescent="0.25">
      <c r="A29" s="10" t="s">
        <v>206</v>
      </c>
      <c r="B29" s="2">
        <v>45079</v>
      </c>
      <c r="C29" s="10" t="s">
        <v>165</v>
      </c>
      <c r="D29" s="9" t="s">
        <v>169</v>
      </c>
      <c r="E29" s="9" t="s">
        <v>172</v>
      </c>
      <c r="F29" s="9" t="s">
        <v>174</v>
      </c>
      <c r="G29" s="7">
        <v>5400</v>
      </c>
      <c r="H29" s="7">
        <v>540</v>
      </c>
      <c r="I29" s="5">
        <f t="shared" si="0"/>
        <v>0.1</v>
      </c>
    </row>
    <row r="30" spans="1:9" ht="15.75" customHeight="1" x14ac:dyDescent="0.25">
      <c r="A30" s="10" t="s">
        <v>207</v>
      </c>
      <c r="B30" s="2">
        <v>45077</v>
      </c>
      <c r="C30" s="10" t="s">
        <v>149</v>
      </c>
      <c r="D30" s="12" t="s">
        <v>168</v>
      </c>
      <c r="E30" s="12" t="s">
        <v>171</v>
      </c>
      <c r="F30" s="12" t="s">
        <v>178</v>
      </c>
      <c r="G30" s="7">
        <v>6000</v>
      </c>
      <c r="H30" s="7">
        <v>998</v>
      </c>
      <c r="I30" s="5">
        <f t="shared" ref="I30" si="1">IFERROR(H30/G30,0)</f>
        <v>0.16633333333333333</v>
      </c>
    </row>
    <row r="31" spans="1:9" ht="15.75" customHeight="1" x14ac:dyDescent="0.25"/>
    <row r="32" spans="1:9" ht="15.75" customHeight="1" x14ac:dyDescent="0.25"/>
    <row r="33" spans="7:7" ht="15.75" customHeight="1" x14ac:dyDescent="0.25">
      <c r="G33" s="4"/>
    </row>
    <row r="34" spans="7:7" ht="15.75" customHeight="1" x14ac:dyDescent="0.25">
      <c r="G34" s="4"/>
    </row>
    <row r="35" spans="7:7" ht="15.75" customHeight="1" x14ac:dyDescent="0.25">
      <c r="G35" s="4"/>
    </row>
    <row r="36" spans="7:7" ht="15.75" customHeight="1" x14ac:dyDescent="0.25">
      <c r="G36" s="4"/>
    </row>
    <row r="37" spans="7:7" ht="15.75" customHeight="1" x14ac:dyDescent="0.25">
      <c r="G37" s="4"/>
    </row>
    <row r="38" spans="7:7" ht="15.75" customHeight="1" x14ac:dyDescent="0.25">
      <c r="G38" s="4"/>
    </row>
    <row r="39" spans="7:7" ht="15.75" customHeight="1" x14ac:dyDescent="0.25">
      <c r="G39" s="4"/>
    </row>
    <row r="40" spans="7:7" ht="15.75" customHeight="1" x14ac:dyDescent="0.25">
      <c r="G40" s="4"/>
    </row>
    <row r="41" spans="7:7" ht="15.75" customHeight="1" x14ac:dyDescent="0.25">
      <c r="G41" s="4"/>
    </row>
    <row r="42" spans="7:7" ht="15.75" customHeight="1" x14ac:dyDescent="0.25"/>
    <row r="43" spans="7:7" ht="15.75" customHeight="1" x14ac:dyDescent="0.25"/>
    <row r="44" spans="7:7" ht="15.75" customHeight="1" x14ac:dyDescent="0.25"/>
    <row r="45" spans="7:7" ht="15.75" customHeight="1" x14ac:dyDescent="0.25"/>
    <row r="46" spans="7:7" ht="15.75" customHeight="1" x14ac:dyDescent="0.25"/>
    <row r="47" spans="7:7" ht="15.75" customHeight="1" x14ac:dyDescent="0.25"/>
    <row r="48" spans="7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43.125" customWidth="1"/>
    <col min="2" max="3" width="15.375" customWidth="1"/>
    <col min="4" max="26" width="11" customWidth="1"/>
  </cols>
  <sheetData>
    <row r="1" spans="1:26" ht="15.75" customHeight="1" x14ac:dyDescent="0.25">
      <c r="A1" s="6" t="s">
        <v>1</v>
      </c>
      <c r="B1" s="6" t="s">
        <v>72</v>
      </c>
      <c r="C1" s="6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3" t="s">
        <v>77</v>
      </c>
      <c r="B2" s="8" t="s">
        <v>138</v>
      </c>
      <c r="C2" s="3" t="s">
        <v>78</v>
      </c>
    </row>
    <row r="3" spans="1:26" ht="15.75" customHeight="1" x14ac:dyDescent="0.25">
      <c r="A3" s="3" t="s">
        <v>81</v>
      </c>
      <c r="B3" s="8" t="s">
        <v>139</v>
      </c>
      <c r="C3" s="3" t="s">
        <v>82</v>
      </c>
    </row>
    <row r="4" spans="1:26" ht="15.75" customHeight="1" x14ac:dyDescent="0.25">
      <c r="A4" s="3" t="s">
        <v>85</v>
      </c>
      <c r="B4" s="8" t="s">
        <v>140</v>
      </c>
      <c r="C4" s="3" t="s">
        <v>86</v>
      </c>
    </row>
    <row r="5" spans="1:26" ht="15.75" customHeight="1" x14ac:dyDescent="0.25">
      <c r="A5" s="3" t="s">
        <v>88</v>
      </c>
      <c r="B5" s="8" t="s">
        <v>141</v>
      </c>
      <c r="C5" s="3" t="s">
        <v>19</v>
      </c>
    </row>
    <row r="6" spans="1:26" ht="15.75" customHeight="1" x14ac:dyDescent="0.25">
      <c r="A6" s="3" t="s">
        <v>91</v>
      </c>
      <c r="B6" s="8" t="s">
        <v>142</v>
      </c>
      <c r="C6" s="3" t="s">
        <v>92</v>
      </c>
    </row>
    <row r="7" spans="1:26" ht="15.75" customHeight="1" x14ac:dyDescent="0.25">
      <c r="A7" s="3" t="s">
        <v>93</v>
      </c>
      <c r="B7" s="8" t="s">
        <v>143</v>
      </c>
      <c r="C7" s="3" t="s">
        <v>94</v>
      </c>
    </row>
    <row r="8" spans="1:26" ht="15.75" customHeight="1" x14ac:dyDescent="0.25">
      <c r="A8" s="3" t="s">
        <v>95</v>
      </c>
      <c r="B8" s="8" t="s">
        <v>144</v>
      </c>
      <c r="C8" s="3" t="s">
        <v>96</v>
      </c>
    </row>
    <row r="9" spans="1:26" ht="15.75" customHeight="1" x14ac:dyDescent="0.25">
      <c r="A9" s="3" t="s">
        <v>97</v>
      </c>
      <c r="B9" s="8" t="s">
        <v>145</v>
      </c>
      <c r="C9" s="3" t="s">
        <v>98</v>
      </c>
    </row>
    <row r="10" spans="1:26" ht="15.75" customHeight="1" x14ac:dyDescent="0.25">
      <c r="A10" s="3" t="s">
        <v>99</v>
      </c>
      <c r="B10" s="8" t="s">
        <v>146</v>
      </c>
      <c r="C10" s="3" t="s">
        <v>31</v>
      </c>
    </row>
    <row r="11" spans="1:26" ht="15.75" customHeight="1" x14ac:dyDescent="0.25">
      <c r="A11" s="3" t="s">
        <v>100</v>
      </c>
      <c r="B11" s="8" t="s">
        <v>147</v>
      </c>
      <c r="C11" s="3" t="s">
        <v>34</v>
      </c>
    </row>
    <row r="12" spans="1:26" ht="15.75" customHeight="1" x14ac:dyDescent="0.25">
      <c r="A12" s="3" t="s">
        <v>101</v>
      </c>
      <c r="B12" s="8" t="s">
        <v>148</v>
      </c>
      <c r="C12" s="3" t="s">
        <v>102</v>
      </c>
    </row>
    <row r="13" spans="1:26" ht="15.75" customHeight="1" x14ac:dyDescent="0.25">
      <c r="A13" s="3" t="s">
        <v>103</v>
      </c>
      <c r="B13" s="8" t="s">
        <v>149</v>
      </c>
      <c r="C13" s="3" t="s">
        <v>104</v>
      </c>
    </row>
    <row r="14" spans="1:26" ht="15.75" customHeight="1" x14ac:dyDescent="0.25">
      <c r="A14" s="3" t="s">
        <v>105</v>
      </c>
      <c r="B14" s="8" t="s">
        <v>150</v>
      </c>
      <c r="C14" s="3" t="s">
        <v>106</v>
      </c>
      <c r="D14" s="3"/>
    </row>
    <row r="15" spans="1:26" ht="15.75" customHeight="1" x14ac:dyDescent="0.25">
      <c r="A15" s="3" t="s">
        <v>110</v>
      </c>
      <c r="B15" s="8" t="s">
        <v>151</v>
      </c>
      <c r="C15" s="3" t="s">
        <v>43</v>
      </c>
    </row>
    <row r="16" spans="1:26" ht="15.75" customHeight="1" x14ac:dyDescent="0.25">
      <c r="A16" s="3" t="s">
        <v>111</v>
      </c>
      <c r="B16" s="8" t="s">
        <v>152</v>
      </c>
      <c r="C16" s="3" t="s">
        <v>112</v>
      </c>
    </row>
    <row r="17" spans="1:3" ht="15.75" customHeight="1" x14ac:dyDescent="0.25">
      <c r="A17" s="3" t="s">
        <v>113</v>
      </c>
      <c r="B17" s="8" t="s">
        <v>153</v>
      </c>
      <c r="C17" s="3" t="s">
        <v>114</v>
      </c>
    </row>
    <row r="18" spans="1:3" ht="15.75" customHeight="1" x14ac:dyDescent="0.25">
      <c r="A18" s="3" t="s">
        <v>115</v>
      </c>
      <c r="B18" s="8" t="s">
        <v>154</v>
      </c>
      <c r="C18" s="3" t="s">
        <v>116</v>
      </c>
    </row>
    <row r="19" spans="1:3" ht="15.75" customHeight="1" x14ac:dyDescent="0.25">
      <c r="A19" s="3" t="s">
        <v>117</v>
      </c>
      <c r="B19" s="8" t="s">
        <v>155</v>
      </c>
      <c r="C19" s="3" t="s">
        <v>118</v>
      </c>
    </row>
    <row r="20" spans="1:3" ht="15.75" customHeight="1" x14ac:dyDescent="0.25">
      <c r="A20" s="3" t="s">
        <v>119</v>
      </c>
      <c r="B20" s="8" t="s">
        <v>156</v>
      </c>
      <c r="C20" s="3" t="s">
        <v>120</v>
      </c>
    </row>
    <row r="21" spans="1:3" ht="15.75" customHeight="1" x14ac:dyDescent="0.25">
      <c r="A21" s="3" t="s">
        <v>121</v>
      </c>
      <c r="B21" s="8" t="s">
        <v>157</v>
      </c>
      <c r="C21" s="3" t="s">
        <v>122</v>
      </c>
    </row>
    <row r="22" spans="1:3" ht="15.75" customHeight="1" x14ac:dyDescent="0.25">
      <c r="A22" s="3" t="s">
        <v>123</v>
      </c>
      <c r="B22" s="8" t="s">
        <v>158</v>
      </c>
      <c r="C22" s="3" t="s">
        <v>124</v>
      </c>
    </row>
    <row r="23" spans="1:3" ht="15.75" customHeight="1" x14ac:dyDescent="0.25">
      <c r="A23" s="3" t="s">
        <v>125</v>
      </c>
      <c r="B23" s="8" t="s">
        <v>159</v>
      </c>
      <c r="C23" s="3" t="s">
        <v>126</v>
      </c>
    </row>
    <row r="24" spans="1:3" ht="15.75" customHeight="1" x14ac:dyDescent="0.25">
      <c r="A24" s="3" t="s">
        <v>127</v>
      </c>
      <c r="B24" s="8" t="s">
        <v>160</v>
      </c>
      <c r="C24" s="3" t="s">
        <v>128</v>
      </c>
    </row>
    <row r="25" spans="1:3" ht="15.75" customHeight="1" x14ac:dyDescent="0.25">
      <c r="A25" s="3" t="s">
        <v>129</v>
      </c>
      <c r="B25" s="8" t="s">
        <v>161</v>
      </c>
      <c r="C25" s="3" t="s">
        <v>130</v>
      </c>
    </row>
    <row r="26" spans="1:3" ht="15.75" customHeight="1" x14ac:dyDescent="0.25">
      <c r="A26" s="3" t="s">
        <v>131</v>
      </c>
      <c r="B26" s="8" t="s">
        <v>162</v>
      </c>
      <c r="C26" s="3" t="s">
        <v>132</v>
      </c>
    </row>
    <row r="27" spans="1:3" ht="15.75" customHeight="1" x14ac:dyDescent="0.25">
      <c r="A27" s="3" t="s">
        <v>133</v>
      </c>
      <c r="B27" s="8" t="s">
        <v>163</v>
      </c>
      <c r="C27" s="3" t="s">
        <v>134</v>
      </c>
    </row>
    <row r="28" spans="1:3" ht="15.75" customHeight="1" x14ac:dyDescent="0.25">
      <c r="A28" s="3" t="s">
        <v>135</v>
      </c>
      <c r="B28" s="8" t="s">
        <v>164</v>
      </c>
      <c r="C28" s="3" t="s">
        <v>136</v>
      </c>
    </row>
    <row r="29" spans="1:3" ht="15.75" customHeight="1" x14ac:dyDescent="0.25">
      <c r="A29" s="3" t="s">
        <v>137</v>
      </c>
      <c r="B29" s="8" t="s">
        <v>165</v>
      </c>
      <c r="C29" s="3" t="s">
        <v>71</v>
      </c>
    </row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13.125" customWidth="1"/>
    <col min="2" max="2" width="10.75" customWidth="1"/>
    <col min="3" max="3" width="19.75" customWidth="1"/>
    <col min="4" max="26" width="11" customWidth="1"/>
  </cols>
  <sheetData>
    <row r="1" spans="1:26" ht="15.75" customHeight="1" x14ac:dyDescent="0.25">
      <c r="A1" s="6" t="s">
        <v>3</v>
      </c>
      <c r="B1" s="6" t="s">
        <v>73</v>
      </c>
    </row>
    <row r="2" spans="1:26" ht="15.75" customHeight="1" x14ac:dyDescent="0.25">
      <c r="A2" s="3" t="s">
        <v>107</v>
      </c>
      <c r="B2" s="3" t="s">
        <v>166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79</v>
      </c>
      <c r="B3" s="3" t="s">
        <v>167</v>
      </c>
      <c r="D3" s="3" t="s">
        <v>109</v>
      </c>
    </row>
    <row r="4" spans="1:26" ht="15.75" customHeight="1" x14ac:dyDescent="0.25">
      <c r="A4" s="3" t="s">
        <v>89</v>
      </c>
      <c r="B4" s="3" t="s">
        <v>168</v>
      </c>
    </row>
    <row r="5" spans="1:26" ht="15.75" customHeight="1" x14ac:dyDescent="0.25">
      <c r="A5" s="3" t="s">
        <v>83</v>
      </c>
      <c r="B5" s="3" t="s">
        <v>169</v>
      </c>
    </row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11.25" customWidth="1"/>
    <col min="2" max="2" width="9.25" customWidth="1"/>
    <col min="3" max="3" width="16.875" customWidth="1"/>
    <col min="4" max="26" width="11" customWidth="1"/>
  </cols>
  <sheetData>
    <row r="1" spans="1:26" ht="15.75" customHeight="1" x14ac:dyDescent="0.25">
      <c r="A1" s="6" t="s">
        <v>75</v>
      </c>
      <c r="B1" s="6" t="s">
        <v>74</v>
      </c>
    </row>
    <row r="2" spans="1:26" ht="15.75" customHeight="1" x14ac:dyDescent="0.25">
      <c r="A2" s="3" t="s">
        <v>108</v>
      </c>
      <c r="B2" s="8" t="s">
        <v>170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 t="s">
        <v>90</v>
      </c>
      <c r="B3" s="8" t="s">
        <v>171</v>
      </c>
      <c r="D3" s="3" t="s">
        <v>109</v>
      </c>
    </row>
    <row r="4" spans="1:26" ht="15.75" customHeight="1" x14ac:dyDescent="0.25">
      <c r="A4" s="3" t="s">
        <v>84</v>
      </c>
      <c r="B4" s="8" t="s">
        <v>172</v>
      </c>
    </row>
    <row r="5" spans="1:26" ht="15.75" customHeight="1" x14ac:dyDescent="0.25">
      <c r="A5" s="3" t="s">
        <v>80</v>
      </c>
      <c r="B5" s="8" t="s">
        <v>173</v>
      </c>
    </row>
    <row r="6" spans="1:26" ht="15.75" customHeight="1" x14ac:dyDescent="0.25"/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L10" sqref="L10"/>
    </sheetView>
  </sheetViews>
  <sheetFormatPr defaultColWidth="11.25" defaultRowHeight="15" customHeight="1" x14ac:dyDescent="0.25"/>
  <cols>
    <col min="1" max="1" width="10.375" customWidth="1"/>
    <col min="2" max="2" width="13" customWidth="1"/>
    <col min="3" max="3" width="8.75" customWidth="1"/>
    <col min="4" max="26" width="11" customWidth="1"/>
  </cols>
  <sheetData>
    <row r="1" spans="1:26" ht="15.75" x14ac:dyDescent="0.25">
      <c r="A1" s="6" t="s">
        <v>4</v>
      </c>
      <c r="B1" s="6" t="s">
        <v>76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x14ac:dyDescent="0.25">
      <c r="A2" s="3" t="s">
        <v>32</v>
      </c>
      <c r="B2" s="3" t="s">
        <v>174</v>
      </c>
    </row>
    <row r="3" spans="1:26" ht="15.75" x14ac:dyDescent="0.25">
      <c r="A3" s="3" t="s">
        <v>23</v>
      </c>
      <c r="B3" s="3" t="s">
        <v>175</v>
      </c>
    </row>
    <row r="4" spans="1:26" ht="15.75" x14ac:dyDescent="0.25">
      <c r="A4" s="3" t="s">
        <v>87</v>
      </c>
      <c r="B4" s="3" t="s">
        <v>176</v>
      </c>
    </row>
    <row r="5" spans="1:26" ht="15.75" x14ac:dyDescent="0.25">
      <c r="A5" s="3" t="s">
        <v>15</v>
      </c>
      <c r="B5" s="3" t="s">
        <v>177</v>
      </c>
    </row>
    <row r="6" spans="1:26" ht="15.75" x14ac:dyDescent="0.25">
      <c r="A6" s="3" t="s">
        <v>11</v>
      </c>
      <c r="B6" s="3" t="s">
        <v>178</v>
      </c>
    </row>
    <row r="7" spans="1:26" ht="15.75" customHeight="1" x14ac:dyDescent="0.25"/>
    <row r="8" spans="1:26" ht="15.75" customHeight="1" x14ac:dyDescent="0.25"/>
    <row r="9" spans="1:26" ht="15.75" customHeight="1" x14ac:dyDescent="0.25"/>
    <row r="10" spans="1:26" ht="15.75" customHeight="1" x14ac:dyDescent="0.25"/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503BE6E-488A-4A2A-8C99-FEF825B8B60C}">
  <ds:schemaRefs/>
</ds:datastoreItem>
</file>

<file path=customXml/itemProps2.xml><?xml version="1.0" encoding="utf-8"?>
<ds:datastoreItem xmlns:ds="http://schemas.openxmlformats.org/officeDocument/2006/customXml" ds:itemID="{42955D7D-AB62-4BAF-B9D9-44F773F3336E}">
  <ds:schemaRefs/>
</ds:datastoreItem>
</file>

<file path=customXml/itemProps3.xml><?xml version="1.0" encoding="utf-8"?>
<ds:datastoreItem xmlns:ds="http://schemas.openxmlformats.org/officeDocument/2006/customXml" ds:itemID="{B2F9CA21-7DF4-46FD-969B-F2A50A9A747C}">
  <ds:schemaRefs/>
</ds:datastoreItem>
</file>

<file path=customXml/itemProps4.xml><?xml version="1.0" encoding="utf-8"?>
<ds:datastoreItem xmlns:ds="http://schemas.openxmlformats.org/officeDocument/2006/customXml" ds:itemID="{C576DC92-F3DA-4376-8E22-D497EDFDB725}">
  <ds:schemaRefs/>
</ds:datastoreItem>
</file>

<file path=customXml/itemProps5.xml><?xml version="1.0" encoding="utf-8"?>
<ds:datastoreItem xmlns:ds="http://schemas.openxmlformats.org/officeDocument/2006/customXml" ds:itemID="{13683790-4D61-4933-9B93-B657496F48D9}">
  <ds:schemaRefs/>
</ds:datastoreItem>
</file>

<file path=customXml/itemProps6.xml><?xml version="1.0" encoding="utf-8"?>
<ds:datastoreItem xmlns:ds="http://schemas.openxmlformats.org/officeDocument/2006/customXml" ds:itemID="{29F0CDCD-CA96-41AE-87FD-7D9219FC5BE6}">
  <ds:schemaRefs/>
</ds:datastoreItem>
</file>

<file path=customXml/itemProps7.xml><?xml version="1.0" encoding="utf-8"?>
<ds:datastoreItem xmlns:ds="http://schemas.openxmlformats.org/officeDocument/2006/customXml" ds:itemID="{167F8201-4ED8-4E38-A46F-DDDF983069B3}">
  <ds:schemaRefs/>
</ds:datastoreItem>
</file>

<file path=customXml/itemProps8.xml><?xml version="1.0" encoding="utf-8"?>
<ds:datastoreItem xmlns:ds="http://schemas.openxmlformats.org/officeDocument/2006/customXml" ds:itemID="{6CE85E05-3712-4D7C-8F2F-59EB7156BCA3}">
  <ds:schemaRefs/>
</ds:datastoreItem>
</file>

<file path=customXml/itemProps9.xml><?xml version="1.0" encoding="utf-8"?>
<ds:datastoreItem xmlns:ds="http://schemas.openxmlformats.org/officeDocument/2006/customXml" ds:itemID="{DD6EAE62-CEFF-4257-8C8F-03336B9E3399}">
  <ds:schemaRefs/>
</ds:datastoreItem>
</file>

<file path=customXml/itemProps10.xml><?xml version="1.0" encoding="utf-8"?>
<ds:datastoreItem xmlns:ds="http://schemas.openxmlformats.org/officeDocument/2006/customXml" ds:itemID="{9642B879-99CF-4827-9763-8CD1EA3833D9}">
  <ds:schemaRefs/>
</ds:datastoreItem>
</file>

<file path=customXml/itemProps11.xml><?xml version="1.0" encoding="utf-8"?>
<ds:datastoreItem xmlns:ds="http://schemas.openxmlformats.org/officeDocument/2006/customXml" ds:itemID="{26BBC9CE-C53B-4587-B680-BFAD55D00E4D}">
  <ds:schemaRefs/>
</ds:datastoreItem>
</file>

<file path=customXml/itemProps12.xml><?xml version="1.0" encoding="utf-8"?>
<ds:datastoreItem xmlns:ds="http://schemas.openxmlformats.org/officeDocument/2006/customXml" ds:itemID="{4614386F-03E8-4361-BD10-8407CDFD7B90}">
  <ds:schemaRefs/>
</ds:datastoreItem>
</file>

<file path=customXml/itemProps13.xml><?xml version="1.0" encoding="utf-8"?>
<ds:datastoreItem xmlns:ds="http://schemas.openxmlformats.org/officeDocument/2006/customXml" ds:itemID="{DB98BAB0-C8F0-4885-BFDD-40A510759474}">
  <ds:schemaRefs/>
</ds:datastoreItem>
</file>

<file path=customXml/itemProps14.xml><?xml version="1.0" encoding="utf-8"?>
<ds:datastoreItem xmlns:ds="http://schemas.openxmlformats.org/officeDocument/2006/customXml" ds:itemID="{DFBD6B10-9AE3-4820-9318-FC1A9B8D4FA9}">
  <ds:schemaRefs/>
</ds:datastoreItem>
</file>

<file path=customXml/itemProps15.xml><?xml version="1.0" encoding="utf-8"?>
<ds:datastoreItem xmlns:ds="http://schemas.openxmlformats.org/officeDocument/2006/customXml" ds:itemID="{2F262476-CB58-41C1-900B-7974B880919A}">
  <ds:schemaRefs/>
</ds:datastoreItem>
</file>

<file path=customXml/itemProps16.xml><?xml version="1.0" encoding="utf-8"?>
<ds:datastoreItem xmlns:ds="http://schemas.openxmlformats.org/officeDocument/2006/customXml" ds:itemID="{2CC1CAEA-2ED8-4225-8304-811C3381ECE8}">
  <ds:schemaRefs/>
</ds:datastoreItem>
</file>

<file path=customXml/itemProps17.xml><?xml version="1.0" encoding="utf-8"?>
<ds:datastoreItem xmlns:ds="http://schemas.openxmlformats.org/officeDocument/2006/customXml" ds:itemID="{E1DFD20D-D9E2-4168-B170-FE59216B15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Cleaning Start</vt:lpstr>
      <vt:lpstr>Revenue_fact</vt:lpstr>
      <vt:lpstr>client_dim</vt:lpstr>
      <vt:lpstr>department_dim</vt:lpstr>
      <vt:lpstr>state_dim</vt:lpstr>
      <vt:lpstr>payment_dim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COMLAB</cp:lastModifiedBy>
  <dcterms:created xsi:type="dcterms:W3CDTF">2023-05-29T07:26:35Z</dcterms:created>
  <dcterms:modified xsi:type="dcterms:W3CDTF">2026-02-13T02:40:46Z</dcterms:modified>
</cp:coreProperties>
</file>