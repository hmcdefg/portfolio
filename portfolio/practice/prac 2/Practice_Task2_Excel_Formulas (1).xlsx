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hidePivotFieldList="1" defaultThemeVersion="124226"/>
  <mc:AlternateContent xmlns:mc="http://schemas.openxmlformats.org/markup-compatibility/2006">
    <mc:Choice Requires="x15">
      <x15ac:absPath xmlns:x15ac="http://schemas.microsoft.com/office/spreadsheetml/2010/11/ac" url="C:\Users\COMLAB\Downloads\"/>
    </mc:Choice>
  </mc:AlternateContent>
  <xr:revisionPtr revIDLastSave="0" documentId="8_{D712EABB-D4BA-4347-9F80-B660860A5021}" xr6:coauthVersionLast="47" xr6:coauthVersionMax="47" xr10:uidLastSave="{00000000-0000-0000-0000-000000000000}"/>
  <bookViews>
    <workbookView xWindow="0" yWindow="0" windowWidth="28800" windowHeight="12300" tabRatio="967" firstSheet="51" activeTab="48"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90" l="1"/>
  <c r="E26" i="90"/>
  <c r="E27" i="90"/>
  <c r="E24" i="90"/>
  <c r="D27" i="88"/>
  <c r="D28" i="88"/>
  <c r="D29" i="88"/>
  <c r="D26" i="88"/>
  <c r="E27" i="87"/>
  <c r="E28" i="87"/>
  <c r="E29" i="87"/>
  <c r="E26" i="87"/>
  <c r="E29" i="86"/>
  <c r="E27" i="86"/>
  <c r="E28" i="86"/>
  <c r="E26" i="86"/>
  <c r="D24" i="85"/>
  <c r="D25" i="85"/>
  <c r="D26" i="85"/>
  <c r="D23" i="85"/>
  <c r="B24" i="80"/>
  <c r="B25" i="80"/>
  <c r="B26" i="80"/>
  <c r="B23" i="80"/>
  <c r="B24" i="81"/>
  <c r="B25" i="81"/>
  <c r="B26" i="81"/>
  <c r="B23" i="81"/>
  <c r="C27" i="82"/>
  <c r="C28" i="82"/>
  <c r="C29" i="82"/>
  <c r="C26" i="82"/>
  <c r="D24" i="84"/>
  <c r="D25" i="84"/>
  <c r="D26" i="84"/>
  <c r="D23" i="84"/>
  <c r="D24" i="83"/>
  <c r="D25" i="83"/>
  <c r="D26" i="83"/>
  <c r="D23" i="83"/>
  <c r="D81" i="79"/>
  <c r="D82" i="79"/>
  <c r="D83" i="79"/>
  <c r="D84" i="79"/>
  <c r="D85" i="79"/>
  <c r="C81" i="79"/>
  <c r="C82" i="79"/>
  <c r="C83" i="79"/>
  <c r="C84" i="79"/>
  <c r="C85" i="79"/>
  <c r="D80" i="79"/>
  <c r="C80" i="79"/>
  <c r="B81" i="79"/>
  <c r="B82" i="79"/>
  <c r="B83" i="79"/>
  <c r="B84" i="79"/>
  <c r="B85" i="79"/>
  <c r="B80" i="79"/>
  <c r="C97" i="79"/>
  <c r="D97" i="79"/>
  <c r="E97" i="79"/>
  <c r="F97" i="79"/>
  <c r="G97" i="79"/>
  <c r="H97" i="79"/>
  <c r="I97" i="79"/>
  <c r="B97" i="79"/>
  <c r="B42" i="78" a="1"/>
  <c r="B42" i="78"/>
  <c r="B41" i="78" a="1"/>
  <c r="B41" i="78"/>
  <c r="D52" i="77"/>
  <c r="E52" i="77"/>
  <c r="F52" i="77"/>
  <c r="G52" i="77"/>
  <c r="H52" i="77"/>
  <c r="I52" i="77"/>
  <c r="C52" i="77"/>
  <c r="C100" i="76"/>
  <c r="D100" i="76"/>
  <c r="E100" i="76"/>
  <c r="F100" i="76"/>
  <c r="G100" i="76"/>
  <c r="H100" i="76"/>
  <c r="I100" i="76"/>
  <c r="B100" i="76"/>
  <c r="C88" i="76"/>
  <c r="D84" i="76"/>
  <c r="D85" i="76"/>
  <c r="D86" i="76"/>
  <c r="D87" i="76"/>
  <c r="D88" i="76"/>
  <c r="C84" i="76"/>
  <c r="C85" i="76"/>
  <c r="C86" i="76"/>
  <c r="C87" i="76"/>
  <c r="D83" i="76"/>
  <c r="C83" i="76"/>
  <c r="B84" i="76"/>
  <c r="B85" i="76"/>
  <c r="B86" i="76"/>
  <c r="B87" i="76"/>
  <c r="B88" i="76"/>
  <c r="B83" i="76"/>
  <c r="C23" i="69"/>
  <c r="C24" i="69"/>
  <c r="C22" i="69"/>
  <c r="C23" i="68"/>
  <c r="C24" i="68"/>
  <c r="C22" i="68"/>
  <c r="C38" i="67"/>
  <c r="C39" i="67"/>
  <c r="C40" i="67"/>
  <c r="C41" i="67"/>
  <c r="C42" i="67"/>
  <c r="C43" i="67"/>
  <c r="C37" i="67"/>
  <c r="B38" i="67"/>
  <c r="B39" i="67"/>
  <c r="B40" i="67"/>
  <c r="B41" i="67"/>
  <c r="B42" i="67"/>
  <c r="B43" i="67"/>
  <c r="B37" i="67"/>
  <c r="C30" i="67"/>
  <c r="C29" i="67"/>
  <c r="C28" i="67"/>
  <c r="B30" i="66"/>
  <c r="B31" i="66"/>
  <c r="B32" i="66"/>
  <c r="B33" i="66"/>
  <c r="B34" i="66"/>
  <c r="B35" i="66"/>
  <c r="D23" i="66"/>
  <c r="F23" i="66" s="1"/>
  <c r="D22" i="66"/>
  <c r="F22" i="66" s="1"/>
  <c r="D23" i="65"/>
  <c r="F23" i="65" s="1"/>
  <c r="D22" i="65"/>
  <c r="F22" i="65" s="1"/>
  <c r="D23" i="64"/>
  <c r="F23" i="64" s="1"/>
  <c r="D22" i="64"/>
  <c r="F22" i="64" s="1"/>
  <c r="D22" i="63"/>
  <c r="D21" i="63"/>
  <c r="B22" i="62"/>
  <c r="B23" i="62"/>
  <c r="B24" i="62"/>
  <c r="B21" i="62"/>
  <c r="B23" i="61"/>
  <c r="B24" i="61"/>
  <c r="B25" i="61"/>
  <c r="B26" i="61"/>
  <c r="E39" i="60"/>
  <c r="E40" i="60"/>
  <c r="E41" i="60"/>
  <c r="D39" i="60"/>
  <c r="D40" i="60"/>
  <c r="D41" i="60"/>
  <c r="C39" i="60"/>
  <c r="C40" i="60"/>
  <c r="C41" i="60"/>
  <c r="B39" i="60"/>
  <c r="B40" i="60"/>
  <c r="B41" i="60"/>
  <c r="E38" i="60"/>
  <c r="D38" i="60"/>
  <c r="C38" i="60"/>
  <c r="B38" i="60"/>
  <c r="D28" i="47"/>
  <c r="D29" i="47"/>
  <c r="D30" i="47"/>
  <c r="D27" i="47"/>
  <c r="D40" i="45"/>
  <c r="D41" i="45"/>
  <c r="D42" i="45"/>
  <c r="D39" i="45"/>
  <c r="E39" i="44"/>
  <c r="E40" i="44"/>
  <c r="E41" i="44"/>
  <c r="E38" i="44"/>
  <c r="G37" i="43"/>
  <c r="G38" i="43"/>
  <c r="G39" i="43"/>
  <c r="G36" i="43"/>
  <c r="C29" i="55"/>
  <c r="C30" i="55"/>
  <c r="C28" i="55"/>
  <c r="C30" i="54"/>
  <c r="C28" i="54"/>
  <c r="C29" i="54"/>
  <c r="C23" i="54"/>
  <c r="C22" i="54"/>
  <c r="C38" i="49"/>
  <c r="C37" i="49"/>
  <c r="C36" i="49"/>
  <c r="C35" i="49"/>
  <c r="C34" i="49"/>
  <c r="C30" i="48"/>
  <c r="C31" i="48"/>
  <c r="C32" i="48"/>
  <c r="C29" i="48"/>
  <c r="E37" i="42"/>
  <c r="E38" i="42"/>
  <c r="E39" i="42"/>
  <c r="E36" i="42"/>
  <c r="C35" i="41"/>
  <c r="C36" i="41"/>
  <c r="C37" i="41"/>
  <c r="C34" i="41"/>
  <c r="A18" i="74"/>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<sst xmlns="http://schemas.openxmlformats.org/spreadsheetml/2006/main" count="2525" uniqueCount="1098">
  <si>
    <t>IF</t>
  </si>
  <si>
    <t>What does it do?</t>
  </si>
  <si>
    <t>It checks whether a condition is true or not and on the basis of that returns a value</t>
  </si>
  <si>
    <t>Syntax</t>
  </si>
  <si>
    <t xml:space="preserve"> =if(Logical_Test, [value_if_true], [value_if_false])</t>
  </si>
  <si>
    <t>Logical_Test</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</si>
  <si>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</si>
  <si>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</si>
  <si>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</si>
  <si>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</si>
  <si>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</si>
  <si>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</si>
  <si>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</si>
  <si>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</si>
  <si>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</si>
  <si>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</si>
  <si>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</si>
  <si>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</si>
  <si>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</si>
  <si>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</si>
  <si>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</si>
  <si>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</si>
  <si>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</si>
  <si>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</si>
  <si>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</si>
  <si>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</si>
  <si>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</si>
  <si>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</si>
  <si>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</si>
  <si>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</si>
  <si>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</si>
  <si>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</si>
  <si>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</si>
  <si>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</si>
  <si>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</si>
  <si>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</si>
  <si>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</si>
  <si>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</si>
  <si>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</si>
  <si>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</si>
  <si>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</si>
  <si>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</si>
  <si>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</si>
  <si>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</si>
  <si>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</si>
  <si>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</si>
  <si>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</si>
  <si>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</si>
  <si>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</si>
  <si>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</si>
  <si>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</si>
  <si>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</si>
  <si>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</si>
  <si>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</si>
  <si>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</si>
  <si>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</si>
  <si>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</si>
  <si>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</si>
  <si>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</si>
  <si>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</si>
  <si>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</si>
  <si>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</si>
  <si>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</si>
  <si>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</si>
  <si>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</si>
  <si>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</si>
  <si>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</si>
  <si>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</si>
  <si>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</si>
  <si>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</si>
  <si>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</si>
  <si>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</si>
  <si>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</si>
  <si>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</si>
  <si>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</si>
  <si>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</si>
  <si>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</si>
  <si>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</si>
  <si>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</si>
  <si>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</si>
  <si>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</si>
  <si>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</si>
  <si>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</si>
  <si>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</si>
  <si>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</si>
  <si>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</si>
  <si>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</si>
  <si>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</si>
  <si>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</si>
  <si>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</si>
  <si>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</si>
  <si>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</si>
  <si>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</si>
  <si>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</si>
  <si>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</si>
  <si>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</si>
  <si>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</si>
  <si>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</si>
  <si>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</si>
  <si>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</si>
  <si>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</si>
  <si>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</si>
  <si>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</si>
  <si>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</si>
  <si>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</si>
  <si>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</si>
  <si>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</si>
  <si>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</si>
  <si>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</si>
  <si>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</si>
  <si>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</si>
  <si>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</si>
  <si>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</si>
  <si>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</si>
  <si>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</si>
  <si>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</si>
  <si>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</si>
  <si>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</si>
  <si>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t xml:space="preserve"> =IFERROR(A19/B19,</t>
    </r>
    <r>
      <rPr>
        <b/>
        <sz val="11"/>
        <color rgb="FFFF0000"/>
        <rFont val="Calibri"/>
        <family val="2"/>
        <scheme val="minor"/>
      </rPr>
      <t>999</t>
    </r>
    <r>
      <rPr>
        <sz val="11"/>
        <color theme="1"/>
        <rFont val="Calibri"/>
        <family val="2"/>
        <scheme val="minor"/>
      </rPr>
      <t>)</t>
    </r>
  </si>
  <si>
    <t xml:space="preserve"> =A20/B20</t>
  </si>
  <si>
    <r>
      <t xml:space="preserve"> =IFERROR(A20/B20,</t>
    </r>
    <r>
      <rPr>
        <b/>
        <sz val="11"/>
        <color rgb="FFFF0000"/>
        <rFont val="Calibri"/>
        <family val="2"/>
        <scheme val="minor"/>
      </rPr>
      <t>999</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</si>
  <si>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</si>
  <si>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</si>
  <si>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t xml:space="preserve"> =IFERROR(A29*B29,</t>
    </r>
    <r>
      <rPr>
        <b/>
        <sz val="11"/>
        <color rgb="FFFF0000"/>
        <rFont val="Calibri"/>
        <family val="2"/>
        <scheme val="minor"/>
      </rPr>
      <t>"DATA IS WRONG"</t>
    </r>
    <r>
      <rPr>
        <sz val="11"/>
        <color theme="1"/>
        <rFont val="Calibri"/>
        <family val="2"/>
        <scheme val="minor"/>
      </rPr>
      <t>)</t>
    </r>
  </si>
  <si>
    <t xml:space="preserve"> =A30*B30</t>
  </si>
  <si>
    <r>
      <t xml:space="preserve"> =IFERROR(A30*B30,</t>
    </r>
    <r>
      <rPr>
        <b/>
        <sz val="11"/>
        <color rgb="FFFF0000"/>
        <rFont val="Calibri"/>
        <family val="2"/>
        <scheme val="minor"/>
      </rPr>
      <t>"DATA IS WRONG"</t>
    </r>
    <r>
      <rPr>
        <sz val="11"/>
        <color theme="1"/>
        <rFont val="Calibri"/>
        <family val="2"/>
        <scheme val="minor"/>
      </rPr>
      <t>)</t>
    </r>
  </si>
  <si>
    <t>a</t>
  </si>
  <si>
    <t xml:space="preserve"> =A31*B31</t>
  </si>
  <si>
    <r>
      <t xml:space="preserve"> =IFERROR(A31*B31,</t>
    </r>
    <r>
      <rPr>
        <b/>
        <sz val="11"/>
        <color rgb="FFFF0000"/>
        <rFont val="Calibri"/>
        <family val="2"/>
        <scheme val="minor"/>
      </rPr>
      <t>"DATA IS WRONG"</t>
    </r>
    <r>
      <rPr>
        <sz val="11"/>
        <color theme="1"/>
        <rFont val="Calibri"/>
        <family val="2"/>
        <scheme val="minor"/>
      </rPr>
      <t>)</t>
    </r>
  </si>
  <si>
    <t xml:space="preserve"> =A32*B32</t>
  </si>
  <si>
    <t>S</t>
  </si>
  <si>
    <r>
      <t xml:space="preserve"> =IFERROR(A32*B32,</t>
    </r>
    <r>
      <rPr>
        <b/>
        <sz val="11"/>
        <color rgb="FFFF0000"/>
        <rFont val="Calibri"/>
        <family val="2"/>
        <scheme val="minor"/>
      </rPr>
      <t>"DATA IS WRONG"</t>
    </r>
    <r>
      <rPr>
        <sz val="11"/>
        <color theme="1"/>
        <rFont val="Calibri"/>
        <family val="2"/>
        <scheme val="minor"/>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</si>
  <si>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</si>
  <si>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</si>
  <si>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</si>
  <si>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</si>
  <si>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</si>
  <si>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IFNA</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</si>
  <si>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</si>
  <si>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</si>
  <si>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</si>
  <si>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</si>
  <si>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</si>
  <si>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r>
      <t xml:space="preserve"> =IFNA(A20,</t>
    </r>
    <r>
      <rPr>
        <b/>
        <sz val="11"/>
        <color rgb="FFFF0000"/>
        <rFont val="Calibri"/>
        <family val="2"/>
        <scheme val="minor"/>
      </rPr>
      <t>9999</t>
    </r>
    <r>
      <rPr>
        <sz val="11"/>
        <color theme="1"/>
        <rFont val="Calibri"/>
        <family val="2"/>
        <scheme val="minor"/>
      </rPr>
      <t>)</t>
    </r>
  </si>
  <si>
    <t>Write a formula using IFNA. Find the monthly salary of each employee using data in Column C and if #N/A appears, then change it to ERROR IN SALARY. Change the format to £ (Pounds) and no decimal places</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</si>
  <si>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</si>
  <si>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</si>
  <si>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</si>
  <si>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</si>
  <si>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</si>
  <si>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</si>
  <si>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</si>
  <si>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</si>
  <si>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</si>
  <si>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</si>
  <si>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</si>
  <si>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</si>
  <si>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</si>
  <si>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</si>
  <si>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</si>
  <si>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</si>
  <si>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</si>
  <si>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</si>
  <si>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</si>
  <si>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</si>
  <si>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</si>
  <si>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</si>
  <si>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</si>
  <si>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</si>
  <si>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</si>
  <si>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</si>
  <si>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</si>
  <si>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</si>
  <si>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</si>
  <si>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</si>
  <si>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</si>
  <si>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</si>
  <si>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</si>
  <si>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</si>
  <si>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</si>
  <si>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</si>
  <si>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</si>
  <si>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</si>
  <si>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</si>
  <si>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</si>
  <si>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</si>
  <si>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</si>
  <si>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</si>
  <si>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</si>
  <si>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</si>
  <si>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</si>
  <si>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</si>
  <si>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</si>
  <si>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</si>
  <si>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</si>
  <si>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</si>
  <si>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</si>
  <si>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</si>
  <si>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</si>
  <si>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</si>
  <si>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</si>
  <si>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</si>
  <si>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</si>
  <si>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</si>
  <si>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</si>
  <si>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</si>
  <si>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</si>
  <si>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</si>
  <si>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</si>
  <si>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</si>
  <si>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=CONCATENATE(A35,"-",B35,"-",C35)</t>
  </si>
  <si>
    <t>E002Analyst500</t>
  </si>
  <si>
    <t>=CONCATENATE(A36,B36,C36)</t>
  </si>
  <si>
    <t>E003/Analyst-100</t>
  </si>
  <si>
    <t>=CONCATENATE(A37,"/",B37,"-",C37)</t>
  </si>
  <si>
    <t>E004:Analyst:400</t>
  </si>
  <si>
    <t>&amp;</t>
  </si>
  <si>
    <t>=A38&amp;":"&amp;B38&amp;":"&amp;C38</t>
  </si>
  <si>
    <t>E005</t>
  </si>
  <si>
    <t>E005 AVP 1000</t>
  </si>
  <si>
    <t>=A39&amp;" "&amp;B39&amp;" "&amp;C39</t>
  </si>
  <si>
    <t>E006</t>
  </si>
  <si>
    <t>E006 Analyst 250</t>
  </si>
  <si>
    <t>=A40&amp;" "&amp;B40&amp;" "&amp;C40</t>
  </si>
  <si>
    <t>E007</t>
  </si>
  <si>
    <t>E007;Analyst*500</t>
  </si>
  <si>
    <t>=A41&amp;";"&amp;B41&amp;"*"&amp;C41</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</si>
  <si>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</si>
  <si>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</si>
  <si>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</si>
  <si>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</si>
  <si>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</si>
  <si>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</si>
  <si>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</si>
  <si>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</si>
  <si>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</si>
  <si>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</si>
  <si>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</si>
  <si>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</si>
  <si>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</si>
  <si>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</si>
  <si>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</si>
  <si>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=CONCATENATE(TRIM(A25),"-",TRIM(B25),"-",TRIM(C25))</t>
  </si>
  <si>
    <t xml:space="preserve">      E002  </t>
  </si>
  <si>
    <t>=CONCATENATE(TRIM(A26),TRIM(B26),TRIM(C26))</t>
  </si>
  <si>
    <t>Ana      lyst</t>
  </si>
  <si>
    <t>=TRIM(A27)&amp;"/"&amp;TRIM(B27)&amp;"-"&amp;TRIM(C27)</t>
  </si>
  <si>
    <t xml:space="preserve">Analyst    </t>
  </si>
  <si>
    <t>=TRIM(A28)&amp;":"&amp;TRIM(B28)&amp;":"&amp;TRIM(C28)</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</si>
  <si>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</si>
  <si>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</si>
  <si>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</si>
  <si>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</si>
  <si>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</si>
  <si>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</si>
  <si>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</si>
  <si>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</si>
  <si>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</si>
  <si>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</si>
  <si>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</si>
  <si>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</si>
  <si>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</si>
  <si>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</si>
  <si>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</si>
  <si>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</si>
  <si>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</si>
  <si>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</si>
  <si>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</si>
  <si>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</si>
  <si>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</si>
  <si>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</si>
  <si>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</si>
  <si>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</si>
  <si>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</si>
  <si>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=SUBSTITUTE(A39,"The","")</t>
  </si>
  <si>
    <t>the dog is in the lawn</t>
  </si>
  <si>
    <t>Dog is in   lawn</t>
  </si>
  <si>
    <t>=SUBSTITUTE(SUBSTITUTE(A40,"the", " "), "d", "D")</t>
  </si>
  <si>
    <t>Dog</t>
  </si>
  <si>
    <t>Fog</t>
  </si>
  <si>
    <t>=SUBSTITUTE(A41,"D","F")</t>
  </si>
  <si>
    <t>Curious Cat</t>
  </si>
  <si>
    <t>Furious Cat</t>
  </si>
  <si>
    <t>=SUBSTITUTE(A42,"C","F",1)</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</si>
  <si>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</si>
  <si>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</si>
  <si>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</si>
  <si>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</si>
  <si>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</si>
  <si>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</si>
  <si>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</si>
  <si>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</si>
  <si>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</si>
  <si>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</si>
  <si>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=VALUE(A22)</t>
  </si>
  <si>
    <t>=VALUE(A23)</t>
  </si>
  <si>
    <t>=VALUE(A24)</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</si>
  <si>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</si>
  <si>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</si>
  <si>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</si>
  <si>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</si>
  <si>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</si>
  <si>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</si>
  <si>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</si>
  <si>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</si>
  <si>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</si>
  <si>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</si>
  <si>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</si>
  <si>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</si>
  <si>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</si>
  <si>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how are you?</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</si>
  <si>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</si>
  <si>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</si>
  <si>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</si>
  <si>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</si>
  <si>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</si>
  <si>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</si>
  <si>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</si>
  <si>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</si>
  <si>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</si>
  <si>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</si>
  <si>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</si>
  <si>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</si>
  <si>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</si>
  <si>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</si>
  <si>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</si>
  <si>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</si>
  <si>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</si>
  <si>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=LOWER(A22)</t>
  </si>
  <si>
    <t>HOW are you?</t>
  </si>
  <si>
    <t>=LOWER(A23)</t>
  </si>
  <si>
    <t>Use LOWER to change Col A and then use EXACT function to match the 2 strings to see if they are same or not</t>
  </si>
  <si>
    <t>mATCH</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</si>
  <si>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</si>
  <si>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</si>
  <si>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</si>
  <si>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</si>
  <si>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</si>
  <si>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</si>
  <si>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</si>
  <si>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SUPERSTORE IS CLOSED ;</t>
  </si>
  <si>
    <t xml:space="preserve"> =LEN(A18)</t>
  </si>
  <si>
    <t xml:space="preserve"> =LEN(A19)</t>
  </si>
  <si>
    <t>Find the length of the followig strings</t>
  </si>
  <si>
    <t>Phone Number is +(0)1234</t>
  </si>
  <si>
    <t>=LEN(A24)</t>
  </si>
  <si>
    <t>This is used for data cleaning</t>
  </si>
  <si>
    <t>=LEN(A25)</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</si>
  <si>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</si>
  <si>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</si>
  <si>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</si>
  <si>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</si>
  <si>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</si>
  <si>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</si>
  <si>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</si>
  <si>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</si>
  <si>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</si>
  <si>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</si>
  <si>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 xml:space="preserve"> =LEFT(A21,15)</t>
  </si>
  <si>
    <t xml:space="preserve"> =LEFT(A22,1)</t>
  </si>
  <si>
    <t xml:space="preserve"> =LEFT(A23,LEN(A23)-7)</t>
  </si>
  <si>
    <t>Use LEFT function to get the results in the 2nd column</t>
  </si>
  <si>
    <t>Phone Number is +(0</t>
  </si>
  <si>
    <t>=LEFT(A28,19)</t>
  </si>
  <si>
    <t>This is used for data cle</t>
  </si>
  <si>
    <t>=LEFT(A29,25)</t>
  </si>
  <si>
    <t>Use LEFT and LEN function together to only remove last 5 characters of the string</t>
  </si>
  <si>
    <t>=LEFT(A34, LEN(A34)-5)</t>
  </si>
  <si>
    <t>=LEFT(A35, LEN(A35)-5)</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</si>
  <si>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</si>
  <si>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</si>
  <si>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</si>
  <si>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</si>
  <si>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</si>
  <si>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</si>
  <si>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</si>
  <si>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</si>
  <si>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</si>
  <si>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</si>
  <si>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</si>
  <si>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=RIGHT(A28,11)</t>
  </si>
  <si>
    <t>data cleaning</t>
  </si>
  <si>
    <t>=RIGHT(A29,13)</t>
  </si>
  <si>
    <t>Use RIGHT and LEN function together to only remove first 5 characters of the string</t>
  </si>
  <si>
    <t xml:space="preserve"> Number is +(0)1234</t>
  </si>
  <si>
    <t>=RIGHT(A34, LEN(A34)-6)</t>
  </si>
  <si>
    <t>is used for data cleaning</t>
  </si>
  <si>
    <t>=RIGHT(A35, LEN(A35)-5)</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</si>
  <si>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</si>
  <si>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</si>
  <si>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</si>
  <si>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</si>
  <si>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</si>
  <si>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</si>
  <si>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</si>
  <si>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</si>
  <si>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</si>
  <si>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</si>
  <si>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</si>
  <si>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</si>
  <si>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</si>
  <si>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</si>
  <si>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=MID(A30,14,8)</t>
  </si>
  <si>
    <t>for data clean</t>
  </si>
  <si>
    <t>=MID(A31,14,14)</t>
  </si>
  <si>
    <t>How have you been?</t>
  </si>
  <si>
    <t>you</t>
  </si>
  <si>
    <t>=MID(A32,10,3)</t>
  </si>
  <si>
    <t>Any questions?</t>
  </si>
  <si>
    <t>quest</t>
  </si>
  <si>
    <t>=MID(A33,5,5)</t>
  </si>
  <si>
    <t>DATE</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</si>
  <si>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</si>
  <si>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</si>
  <si>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</si>
  <si>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</si>
  <si>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</si>
  <si>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</si>
  <si>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</si>
  <si>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</si>
  <si>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</si>
  <si>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</si>
  <si>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</si>
  <si>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</si>
  <si>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</si>
  <si>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</si>
  <si>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=DATE(A30,B30,C30)</t>
  </si>
  <si>
    <t>=DATE(A31,B31,C31)</t>
  </si>
  <si>
    <t>=DATE(A32,B32,C32)</t>
  </si>
  <si>
    <t>=DATE(A33,B33,C33)</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</si>
  <si>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</si>
  <si>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</si>
  <si>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</si>
  <si>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</si>
  <si>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</si>
  <si>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</si>
  <si>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</si>
  <si>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</si>
  <si>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</si>
  <si>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</si>
  <si>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</si>
  <si>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</si>
  <si>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</si>
  <si>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</si>
  <si>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</si>
  <si>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</si>
  <si>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</si>
  <si>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31/12/2015</t>
  </si>
  <si>
    <t>3/01/2010</t>
  </si>
  <si>
    <t>11/12/2015</t>
  </si>
  <si>
    <t>01/01/2014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</si>
  <si>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</si>
  <si>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</si>
  <si>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</si>
  <si>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</si>
  <si>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</si>
  <si>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</si>
  <si>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</si>
  <si>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</si>
  <si>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</si>
  <si>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</si>
  <si>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</si>
  <si>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</si>
  <si>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</si>
  <si>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</si>
  <si>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</si>
  <si>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</si>
  <si>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</si>
  <si>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</si>
  <si>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</si>
  <si>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</si>
  <si>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</si>
  <si>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</si>
  <si>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</si>
  <si>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</si>
  <si>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</si>
  <si>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</si>
  <si>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</si>
  <si>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</si>
  <si>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</si>
  <si>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</si>
  <si>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</si>
  <si>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</si>
  <si>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</si>
  <si>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</si>
  <si>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</si>
  <si>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</si>
  <si>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</si>
  <si>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</si>
  <si>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</si>
  <si>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</si>
  <si>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</si>
  <si>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</si>
  <si>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</si>
  <si>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</si>
  <si>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</si>
  <si>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Use this date to calculate dates from Row 30 onwards</t>
  </si>
  <si>
    <t xml:space="preserve"> =DATE(YEAR(A28),MONTH(A28)+1,DAY(A28))</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</si>
  <si>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</si>
  <si>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</si>
  <si>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</si>
  <si>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</si>
  <si>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</si>
  <si>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</si>
  <si>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</si>
  <si>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</si>
  <si>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</si>
  <si>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</si>
  <si>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</si>
  <si>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</si>
  <si>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</si>
  <si>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</si>
  <si>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</si>
  <si>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</si>
  <si>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</si>
  <si>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</si>
  <si>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</si>
  <si>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</si>
  <si>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</si>
  <si>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</si>
  <si>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</si>
  <si>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</si>
  <si>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</si>
  <si>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</si>
  <si>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</si>
  <si>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</si>
  <si>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</si>
  <si>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</si>
  <si>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</si>
  <si>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</si>
  <si>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</si>
  <si>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</si>
  <si>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</si>
  <si>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</si>
  <si>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</si>
  <si>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</si>
  <si>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</si>
  <si>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</si>
  <si>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</si>
  <si>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</si>
  <si>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</si>
  <si>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</si>
  <si>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</si>
  <si>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</si>
  <si>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</si>
  <si>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</si>
  <si>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</si>
  <si>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</si>
  <si>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</si>
  <si>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</si>
  <si>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</si>
  <si>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</si>
  <si>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</si>
  <si>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</si>
  <si>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</si>
  <si>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</si>
  <si>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</si>
  <si>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</si>
  <si>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</si>
  <si>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</si>
  <si>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</si>
  <si>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</si>
  <si>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</si>
  <si>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</si>
  <si>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</si>
  <si>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</si>
  <si>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</si>
  <si>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</si>
  <si>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</si>
  <si>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</si>
  <si>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</si>
  <si>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</si>
  <si>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</si>
  <si>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</si>
  <si>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</si>
  <si>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</si>
  <si>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</si>
  <si>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</si>
  <si>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</si>
  <si>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</si>
  <si>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</si>
  <si>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</si>
  <si>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</si>
  <si>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</si>
  <si>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</si>
  <si>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</si>
  <si>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</si>
  <si>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</si>
  <si>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</si>
  <si>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</si>
  <si>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</si>
  <si>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</si>
  <si>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</si>
  <si>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</si>
  <si>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</si>
  <si>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</si>
  <si>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</si>
  <si>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</si>
  <si>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</si>
  <si>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</si>
  <si>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</si>
  <si>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</si>
  <si>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</si>
  <si>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</si>
  <si>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</si>
  <si>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Gearbox</t>
  </si>
  <si>
    <t>Costs</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</si>
  <si>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</si>
  <si>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</si>
  <si>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</si>
  <si>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</si>
  <si>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</si>
  <si>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</si>
  <si>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</si>
  <si>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</si>
  <si>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</si>
  <si>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</si>
  <si>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</si>
  <si>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</si>
  <si>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</si>
  <si>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</si>
  <si>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</si>
  <si>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</si>
  <si>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</si>
  <si>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</si>
  <si>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</si>
  <si>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</si>
  <si>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</si>
  <si>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</si>
  <si>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</si>
  <si>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</si>
  <si>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</si>
  <si>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</si>
  <si>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TRANSPOSE</t>
  </si>
  <si>
    <t>The TRANSPOSE function copies data from vertical cells to horizontal or vice versa</t>
  </si>
  <si>
    <t xml:space="preserve"> =TRANSPOSE(Range)</t>
  </si>
  <si>
    <t>Range</t>
  </si>
  <si>
    <t>Data which you want to change from vertical to horizontal or vice-versa</t>
  </si>
  <si>
    <t>How to use Transpose function</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</si>
  <si>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</si>
  <si>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</si>
  <si>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</si>
  <si>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</si>
  <si>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</si>
  <si>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</si>
  <si>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</si>
  <si>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Use TRANSPOSE function to change the cells from vertical to horizontal</t>
  </si>
  <si>
    <t>Employee ID</t>
  </si>
  <si>
    <t>Jan</t>
  </si>
  <si>
    <t>Feb</t>
  </si>
  <si>
    <t>EID</t>
  </si>
  <si>
    <t>Formula EID</t>
  </si>
  <si>
    <t xml:space="preserve"> =TRANSPOSE(A24:A26)</t>
  </si>
  <si>
    <t>Formula Jan</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</si>
  <si>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</si>
  <si>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</si>
  <si>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</si>
  <si>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</si>
  <si>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</si>
  <si>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</si>
  <si>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</si>
  <si>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</si>
  <si>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</si>
  <si>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</si>
  <si>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</si>
  <si>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</si>
  <si>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</si>
  <si>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</si>
  <si>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</si>
  <si>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</si>
  <si>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</si>
  <si>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</si>
  <si>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</si>
  <si>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</si>
  <si>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</si>
  <si>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</si>
  <si>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</si>
  <si>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</si>
  <si>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</si>
  <si>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</si>
  <si>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</si>
  <si>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</si>
  <si>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</si>
  <si>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</si>
  <si>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</si>
  <si>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</si>
  <si>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</si>
  <si>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</si>
  <si>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</si>
  <si>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</si>
  <si>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</si>
  <si>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</si>
  <si>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</si>
  <si>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</si>
  <si>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</si>
  <si>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</si>
  <si>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</si>
  <si>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</si>
  <si>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</si>
  <si>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</si>
  <si>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</si>
  <si>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</si>
  <si>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</si>
  <si>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</si>
  <si>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</si>
  <si>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</si>
  <si>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</si>
  <si>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</si>
  <si>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</si>
  <si>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</si>
  <si>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</si>
  <si>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</si>
  <si>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</si>
  <si>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</si>
  <si>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</si>
  <si>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</si>
  <si>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</si>
  <si>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</si>
  <si>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</si>
  <si>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</si>
  <si>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</si>
  <si>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</si>
  <si>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</si>
  <si>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</si>
  <si>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</si>
  <si>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</si>
  <si>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</si>
  <si>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</si>
  <si>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</si>
  <si>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</si>
  <si>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</si>
  <si>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</si>
  <si>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</si>
  <si>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</si>
  <si>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Use SUMIF function to calculate salary of all employees joined on 1st Oct 2016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</si>
  <si>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</si>
  <si>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</si>
  <si>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</si>
  <si>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</si>
  <si>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</si>
  <si>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</si>
  <si>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</si>
  <si>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</si>
  <si>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</si>
  <si>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</si>
  <si>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</si>
  <si>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</si>
  <si>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</si>
  <si>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</si>
  <si>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</si>
  <si>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</si>
  <si>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</si>
  <si>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</si>
  <si>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</si>
  <si>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</si>
  <si>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</si>
  <si>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</si>
  <si>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</si>
  <si>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</si>
  <si>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</si>
  <si>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Use SUMPRODUCT function to count total number of non Perishable items</t>
  </si>
  <si>
    <t>Cost Non Perishable Items</t>
  </si>
  <si>
    <t>RAND</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</si>
  <si>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</si>
  <si>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</si>
  <si>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</si>
  <si>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</si>
  <si>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</si>
  <si>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</si>
  <si>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</si>
  <si>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</si>
  <si>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</si>
  <si>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</si>
  <si>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Lower Limit</t>
  </si>
  <si>
    <t>TOP</t>
  </si>
  <si>
    <t>Upper Limit</t>
  </si>
  <si>
    <t xml:space="preserve"> =RANDBETWEEN(0,100000)</t>
  </si>
  <si>
    <t xml:space="preserve"> =RANDBETWEEN(0,5000)</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</si>
  <si>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</si>
  <si>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</si>
  <si>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</si>
  <si>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</si>
  <si>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</si>
  <si>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</si>
  <si>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</si>
  <si>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</si>
  <si>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</si>
  <si>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</si>
  <si>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</si>
  <si>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</si>
  <si>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</si>
  <si>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</si>
  <si>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</si>
  <si>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</si>
  <si>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</si>
  <si>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</si>
  <si>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</si>
  <si>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</si>
  <si>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</si>
  <si>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</si>
  <si>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</si>
  <si>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</si>
  <si>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</si>
  <si>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</si>
  <si>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</si>
  <si>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</si>
  <si>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</si>
  <si>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</si>
  <si>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</si>
  <si>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</si>
  <si>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</si>
  <si>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</si>
  <si>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</si>
  <si>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</si>
  <si>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</si>
  <si>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</si>
  <si>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</si>
  <si>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</si>
  <si>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</si>
  <si>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</si>
  <si>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</si>
  <si>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</si>
  <si>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</si>
  <si>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</si>
  <si>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</si>
  <si>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</si>
  <si>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</si>
  <si>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</si>
  <si>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</si>
  <si>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</si>
  <si>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</si>
  <si>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</si>
  <si>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</si>
  <si>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</si>
  <si>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</si>
  <si>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</si>
  <si>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</si>
  <si>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</si>
  <si>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</si>
  <si>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</si>
  <si>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</si>
  <si>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</si>
  <si>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</si>
  <si>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</si>
  <si>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</si>
  <si>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</si>
  <si>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</si>
  <si>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</si>
  <si>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</si>
  <si>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</si>
  <si>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</si>
  <si>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</si>
  <si>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</si>
  <si>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</si>
  <si>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</si>
  <si>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</si>
  <si>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</si>
  <si>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</si>
  <si>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</si>
  <si>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</si>
  <si>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</si>
  <si>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</si>
  <si>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</si>
  <si>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</si>
  <si>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</si>
  <si>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</si>
  <si>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</si>
  <si>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</si>
  <si>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</si>
  <si>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</si>
  <si>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</si>
  <si>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</si>
  <si>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</si>
  <si>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</si>
  <si>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</si>
  <si>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</si>
  <si>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</si>
  <si>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</si>
  <si>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</si>
  <si>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</si>
  <si>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</si>
  <si>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</si>
  <si>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</si>
  <si>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</si>
  <si>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</si>
  <si>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</si>
  <si>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</si>
  <si>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</si>
  <si>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</si>
  <si>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</si>
  <si>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</si>
  <si>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</si>
  <si>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</si>
  <si>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</si>
  <si>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t>
  </si>
  <si>
    <t xml:space="preserve"> =COUNT(A20:C20)</t>
  </si>
  <si>
    <t xml:space="preserve"> =COUNT(A21:C21)</t>
  </si>
  <si>
    <t xml:space="preserve">Use IF function to print 'Y' if count of numbers is &gt;=2 else print 'N' </t>
  </si>
  <si>
    <t>D</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</si>
  <si>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</si>
  <si>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</si>
  <si>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</si>
  <si>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</si>
  <si>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</si>
  <si>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</si>
  <si>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</si>
  <si>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</si>
  <si>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</si>
  <si>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</si>
  <si>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</si>
  <si>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</si>
  <si>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</si>
  <si>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</si>
  <si>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</si>
  <si>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</si>
  <si>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</si>
  <si>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</si>
  <si>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STDEV.S</t>
  </si>
  <si>
    <t>This function gives the standard deviation of the given set of values or range of values. In terms of statistics, the lower the standard deviation the better, as it implies that there is not much variance in the data. Blank cells, text, and error values are ignored.</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</si>
  <si>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</si>
  <si>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</si>
  <si>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</si>
  <si>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</si>
  <si>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</si>
  <si>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</si>
  <si>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</si>
  <si>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</si>
  <si>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</si>
  <si>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</si>
  <si>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CORREL</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</si>
  <si>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</si>
  <si>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 xml:space="preserve"> =CORREL([Array1],[Array2])</t>
  </si>
  <si>
    <t>[Array1],[Array2]</t>
  </si>
  <si>
    <t>The 2 different arrays for which you want to calculate correlation</t>
  </si>
  <si>
    <t>Calculate correlation between Age and Weight for the following set of numbers</t>
  </si>
  <si>
    <t>Age</t>
  </si>
  <si>
    <t>Weight</t>
  </si>
  <si>
    <t>Correlation</t>
  </si>
  <si>
    <t xml:space="preserve"> =CORREL(A17:A26,B17:B26)</t>
  </si>
  <si>
    <t>Calculate correlation between Age and Height for the following set of numbers</t>
  </si>
  <si>
    <t>Height</t>
  </si>
  <si>
    <t>MEDIAN</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</si>
  <si>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</si>
  <si>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</si>
  <si>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</si>
  <si>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</si>
  <si>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</si>
  <si>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Table A</t>
  </si>
  <si>
    <t>Median</t>
  </si>
  <si>
    <t>Table B</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</si>
  <si>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</si>
  <si>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</si>
  <si>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</si>
  <si>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PMT, NPER, PV, FV</t>
  </si>
  <si>
    <t>What does PMT do?</t>
  </si>
  <si>
    <t>It calculates the payment of a loan based on constant number of payments and a fixed interest rate</t>
  </si>
  <si>
    <t xml:space="preserve"> =PMT(rate,nper, pv, [fv], [type])</t>
  </si>
  <si>
    <t>Rate</t>
  </si>
  <si>
    <t>Interest Rate</t>
  </si>
  <si>
    <t>Nper</t>
  </si>
  <si>
    <t>Number of payments</t>
  </si>
  <si>
    <t>PV</t>
  </si>
  <si>
    <t>Present Value of loan taken</t>
  </si>
  <si>
    <t>FV and Type</t>
  </si>
  <si>
    <t>FV and Type are both optional arguments with FV standing for future value of the loan. Types tells whether the payment will be made at the end of the month or not</t>
  </si>
  <si>
    <t>Suppose person ABC buys a car and agrees to a monthly payment based on an interest rate of 4% over 4 years (i.e. 48 monthly payments). The loan amount is $80000</t>
  </si>
  <si>
    <t>Since payments will be monthly, dividing interest rate by 12</t>
  </si>
  <si>
    <t>NPER</t>
  </si>
  <si>
    <t>The PMT is negative i.e. highlighted red because it is implying that ABC will have to give this much amount of money every month</t>
  </si>
  <si>
    <t>PMT</t>
  </si>
  <si>
    <t xml:space="preserve"> =PMT(B24,B25,B26)</t>
  </si>
  <si>
    <t>What does NPER do?</t>
  </si>
  <si>
    <t>It calculates the number of payments required based on fixed interest rate, constant periodic payments</t>
  </si>
  <si>
    <t xml:space="preserve"> =NPER(rate,pmt, pv, [fv], [type])</t>
  </si>
  <si>
    <t>Regular Payment amount</t>
  </si>
  <si>
    <t>ABC will have to make 59 motnhly payments of $1,500</t>
  </si>
  <si>
    <t xml:space="preserve"> =NPER(B50,B51,B52)</t>
  </si>
  <si>
    <t>What does PV do?</t>
  </si>
  <si>
    <t>It tells the present worth of the future payments (present value)</t>
  </si>
  <si>
    <t xml:space="preserve"> =PV(rate,nper, pmt, [fv], [type])</t>
  </si>
  <si>
    <t>Present Value of 48 future payments of $1,806 is $79,986</t>
  </si>
  <si>
    <t xml:space="preserve"> =PV(B76,B78,B77)</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</si>
  <si>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</si>
  <si>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</si>
  <si>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</si>
  <si>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</si>
  <si>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</si>
  <si>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If FV is $0, it implies that we will be able to repay the loan of $80,000 we had initially taken by paying 48 monthly installments of $1,806 each</t>
  </si>
  <si>
    <t>FV</t>
  </si>
  <si>
    <t xml:space="preserve"> =FV(B102,B104,B103,B79)</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</si>
  <si>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</si>
  <si>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</si>
  <si>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</si>
  <si>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</si>
  <si>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</si>
  <si>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</si>
  <si>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</si>
  <si>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</si>
  <si>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</si>
  <si>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</si>
  <si>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</si>
  <si>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</si>
  <si>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</si>
  <si>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</si>
  <si>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</si>
  <si>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</si>
  <si>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</si>
  <si>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</si>
  <si>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</si>
  <si>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</si>
  <si>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</si>
  <si>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</si>
  <si>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</si>
  <si>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</si>
  <si>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</si>
  <si>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</si>
  <si>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</si>
  <si>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</si>
  <si>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</si>
  <si>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</si>
  <si>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</si>
  <si>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</si>
  <si>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</si>
  <si>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</si>
  <si>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</si>
  <si>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</si>
  <si>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</si>
  <si>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</si>
  <si>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</si>
  <si>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</si>
  <si>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</si>
  <si>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</si>
  <si>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</si>
  <si>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</si>
  <si>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</si>
  <si>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</si>
  <si>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</si>
  <si>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</si>
  <si>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</si>
  <si>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</si>
  <si>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</si>
  <si>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</si>
  <si>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</si>
  <si>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</si>
  <si>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</si>
  <si>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</si>
  <si>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</si>
  <si>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</si>
  <si>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</si>
  <si>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</si>
  <si>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</si>
  <si>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</si>
  <si>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</si>
  <si>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</si>
  <si>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</si>
  <si>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</si>
  <si>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</si>
  <si>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</si>
  <si>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</si>
  <si>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</si>
  <si>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</si>
  <si>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</si>
  <si>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</si>
  <si>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</si>
  <si>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</si>
  <si>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</si>
  <si>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</si>
  <si>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</si>
  <si>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</si>
  <si>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</si>
  <si>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</si>
  <si>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</si>
  <si>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</si>
  <si>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</si>
  <si>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</si>
  <si>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</si>
  <si>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</si>
  <si>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</si>
  <si>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</si>
  <si>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</si>
  <si>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</si>
  <si>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</si>
  <si>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</si>
  <si>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</si>
  <si>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</si>
  <si>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</si>
  <si>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</si>
  <si>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</si>
  <si>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</si>
  <si>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</si>
  <si>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</si>
  <si>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</si>
  <si>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</si>
  <si>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</si>
  <si>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</si>
  <si>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</si>
  <si>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</si>
  <si>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=TRANSPOSE(Range)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</si>
</sst>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quot;£&quot;#,##0;[Red]\-&quot;£&quot;#,##0"/>
    <numFmt numFmtId="166" formatCode="&quot;£&quot;#,##0.00;[Red]\-&quot;£&quot;#,##0.00"/>
    <numFmt numFmtId="167" formatCode="&quot;£&quot;#,##0_);[Red]\(&quot;£&quot;#,##0\)"/>
    <numFmt numFmtId="168" formatCode="&quot;$&quot;#,##0"/>
    <numFmt numFmtId="169" formatCode="&quot;£&quot;#,##0"/>
    <numFmt numFmtId="170" formatCode="&quot;$&quot;#,##0.00"/>
    <numFmt numFmtId="171" formatCode="[$$-409]#,##0"/>
    <numFmt numFmtId="172" formatCode="&quot;£&quot;#,##0.00"/>
    <numFmt numFmtId="173" formatCode="_-[$$-409]* #,##0.00_ ;_-[$$-409]* \-#,##0.00\ ;_-[$$-409]* &quot;-&quot;??_ ;_-@_ "/>
    <numFmt numFmtId="174" formatCode="#,##0.0000000"/>
    <numFmt numFmtId="175" formatCode="#,##0.000"/>
    <numFmt numFmtId="176" formatCode="#,##0.0000"/>
    <numFmt numFmtId="177" formatCode="[$$-409]#,##0;[Red][$$-409]#,##0"/>
    <numFmt numFmtId="178" formatCode="[$$-409]#,##0.00_ ;[Red]\-[$$-409]#,##0.00\ "/>
    <numFmt numFmtId="179" formatCode="[$$-409]#,##0_ ;[Red]\-[$$-409]#,##0\ "/>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2">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164" fontId="24" fillId="0" borderId="0" applyFont="0" applyFill="0" applyBorder="0" applyAlignment="0" applyProtection="0"/>
    <xf numFmtId="9" fontId="24" fillId="0" borderId="0" applyFont="0" applyFill="0" applyBorder="0" applyAlignment="0" applyProtection="0"/>
    <xf numFmtId="0" fontId="27" fillId="0" borderId="0"/>
  </cellStyleXfs>
  <cellXfs count="266">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applyBorder="1"/>
    <xf numFmtId="0" fontId="12" fillId="2" borderId="0" xfId="2" applyFont="1" applyFill="1" applyBorder="1" applyAlignment="1">
      <alignment horizontal="center"/>
    </xf>
    <xf numFmtId="0" fontId="12" fillId="2" borderId="0" xfId="3" applyFont="1" applyFill="1" applyBorder="1" applyAlignment="1">
      <alignment horizontal="center"/>
    </xf>
    <xf numFmtId="0" fontId="3" fillId="2" borderId="0" xfId="1" applyFont="1" applyFill="1" applyBorder="1"/>
    <xf numFmtId="0" fontId="7" fillId="2" borderId="0" xfId="1" applyFont="1" applyFill="1" applyBorder="1"/>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Border="1" applyAlignment="1">
      <alignment horizontal="center"/>
    </xf>
    <xf numFmtId="0" fontId="2" fillId="2" borderId="0" xfId="1" applyFont="1" applyFill="1" applyBorder="1"/>
    <xf numFmtId="0" fontId="3" fillId="2" borderId="0" xfId="1" quotePrefix="1" applyFont="1" applyFill="1" applyBorder="1"/>
    <xf numFmtId="0" fontId="6" fillId="2" borderId="0" xfId="1" applyFont="1" applyFill="1" applyBorder="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7"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7"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7"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7"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7"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21" fillId="0" borderId="0" xfId="0" applyFont="1"/>
    <xf numFmtId="168" fontId="17" fillId="0" borderId="4" xfId="0" applyNumberFormat="1" applyFont="1" applyBorder="1" applyAlignment="1">
      <alignment horizontal="center"/>
    </xf>
    <xf numFmtId="0" fontId="0" fillId="0" borderId="4" xfId="0" applyBorder="1"/>
    <xf numFmtId="168" fontId="0" fillId="0" borderId="4" xfId="0" applyNumberFormat="1" applyBorder="1" applyAlignment="1">
      <alignment horizontal="center"/>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Fill="1" applyBorder="1" applyAlignment="1">
      <alignment horizontal="center"/>
    </xf>
    <xf numFmtId="0" fontId="23" fillId="0" borderId="4" xfId="0" applyFont="1" applyBorder="1" applyAlignment="1">
      <alignment horizontal="center"/>
    </xf>
    <xf numFmtId="0" fontId="23" fillId="0" borderId="4" xfId="0" applyFont="1" applyBorder="1" applyAlignment="1">
      <alignment horizontal="center" vertical="center"/>
    </xf>
    <xf numFmtId="169"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20" fontId="0" fillId="0" borderId="4" xfId="0" applyNumberFormat="1" applyBorder="1" applyAlignment="1">
      <alignment horizontal="center"/>
    </xf>
    <xf numFmtId="166" fontId="0" fillId="0" borderId="4" xfId="0" applyNumberFormat="1" applyBorder="1" applyAlignment="1">
      <alignment horizontal="center"/>
    </xf>
    <xf numFmtId="165" fontId="0" fillId="0" borderId="4" xfId="0" applyNumberFormat="1" applyBorder="1" applyAlignment="1">
      <alignment horizontal="center"/>
    </xf>
    <xf numFmtId="0" fontId="20" fillId="0" borderId="2" xfId="0" applyFont="1" applyBorder="1" applyAlignment="1">
      <alignment vertical="top"/>
    </xf>
    <xf numFmtId="170" fontId="0" fillId="0" borderId="4" xfId="0" applyNumberFormat="1" applyBorder="1" applyAlignment="1">
      <alignment horizontal="center"/>
    </xf>
    <xf numFmtId="0" fontId="0" fillId="0" borderId="0" xfId="0" applyAlignment="1">
      <alignment horizontal="left" vertical="top"/>
    </xf>
    <xf numFmtId="0" fontId="0" fillId="0" borderId="0" xfId="0" applyBorder="1" applyAlignment="1">
      <alignment horizontal="center"/>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Fon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1" fontId="0" fillId="0" borderId="4" xfId="0" applyNumberFormat="1" applyFont="1" applyFill="1" applyBorder="1" applyAlignment="1">
      <alignment horizontal="center"/>
    </xf>
    <xf numFmtId="171" fontId="0" fillId="0" borderId="4" xfId="0" applyNumberFormat="1" applyBorder="1" applyAlignment="1">
      <alignment horizontal="center"/>
    </xf>
    <xf numFmtId="171"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2" fontId="0" fillId="0" borderId="4" xfId="0" applyNumberFormat="1" applyFont="1" applyFill="1" applyBorder="1" applyAlignment="1">
      <alignment horizontal="center"/>
    </xf>
    <xf numFmtId="172" fontId="0" fillId="0" borderId="4" xfId="0" applyNumberFormat="1" applyBorder="1" applyAlignment="1">
      <alignment horizontal="center"/>
    </xf>
    <xf numFmtId="169" fontId="0" fillId="0" borderId="4" xfId="0" applyNumberFormat="1" applyFont="1" applyFill="1" applyBorder="1" applyAlignment="1">
      <alignment horizontal="center"/>
    </xf>
    <xf numFmtId="169" fontId="0" fillId="0" borderId="4" xfId="0" applyNumberFormat="1" applyBorder="1" applyAlignment="1">
      <alignment horizontal="center"/>
    </xf>
    <xf numFmtId="1" fontId="0" fillId="0" borderId="4" xfId="0" applyNumberFormat="1" applyBorder="1" applyAlignment="1">
      <alignment horizontal="center" vertical="center" wrapText="1"/>
    </xf>
    <xf numFmtId="174" fontId="0" fillId="0" borderId="4" xfId="4" applyNumberFormat="1" applyFont="1" applyBorder="1" applyAlignment="1">
      <alignment horizontal="center"/>
    </xf>
    <xf numFmtId="4" fontId="0" fillId="0" borderId="4" xfId="0" applyNumberFormat="1" applyBorder="1" applyAlignment="1">
      <alignment horizontal="center"/>
    </xf>
    <xf numFmtId="175" fontId="0" fillId="0" borderId="4" xfId="0" applyNumberFormat="1" applyBorder="1" applyAlignment="1">
      <alignment horizontal="center"/>
    </xf>
    <xf numFmtId="3" fontId="0" fillId="0" borderId="4" xfId="0" applyNumberFormat="1" applyBorder="1" applyAlignment="1">
      <alignment horizontal="center"/>
    </xf>
    <xf numFmtId="176" fontId="0" fillId="0" borderId="4" xfId="4" applyNumberFormat="1" applyFont="1" applyBorder="1" applyAlignment="1">
      <alignment horizontal="center"/>
    </xf>
    <xf numFmtId="175" fontId="0" fillId="0" borderId="4" xfId="4" applyNumberFormat="1" applyFont="1" applyBorder="1" applyAlignment="1">
      <alignment horizontal="center"/>
    </xf>
    <xf numFmtId="4" fontId="0" fillId="0" borderId="4" xfId="4" applyNumberFormat="1" applyFont="1" applyBorder="1" applyAlignment="1">
      <alignment horizontal="center"/>
    </xf>
    <xf numFmtId="177" fontId="0" fillId="0" borderId="4" xfId="0" applyNumberFormat="1" applyBorder="1" applyAlignment="1">
      <alignment horizontal="center"/>
    </xf>
    <xf numFmtId="178" fontId="0" fillId="0" borderId="4" xfId="0" applyNumberFormat="1" applyBorder="1" applyAlignment="1">
      <alignment horizontal="center"/>
    </xf>
    <xf numFmtId="178" fontId="25" fillId="0" borderId="4" xfId="0" applyNumberFormat="1" applyFont="1" applyBorder="1" applyAlignment="1">
      <alignment horizontal="center"/>
    </xf>
    <xf numFmtId="178" fontId="22" fillId="0" borderId="4" xfId="0" applyNumberFormat="1" applyFont="1" applyBorder="1" applyAlignment="1">
      <alignment horizontal="center"/>
    </xf>
    <xf numFmtId="179" fontId="0" fillId="0" borderId="4" xfId="0" applyNumberFormat="1" applyBorder="1" applyAlignment="1">
      <alignment horizontal="center"/>
    </xf>
    <xf numFmtId="0" fontId="17" fillId="0" borderId="34" xfId="0" applyFont="1" applyFill="1" applyBorder="1" applyAlignment="1">
      <alignment horizontal="left"/>
    </xf>
    <xf numFmtId="0" fontId="0" fillId="0" borderId="0" xfId="0" applyFont="1" applyAlignment="1">
      <alignment horizontal="left" vertical="top"/>
    </xf>
    <xf numFmtId="0" fontId="26" fillId="2" borderId="0" xfId="1" applyFont="1" applyFill="1"/>
    <xf numFmtId="0" fontId="26" fillId="2" borderId="0" xfId="1" applyFont="1" applyFill="1" applyBorder="1"/>
    <xf numFmtId="0" fontId="0" fillId="0" borderId="0" xfId="0" applyAlignment="1">
      <alignment vertical="center" wrapText="1"/>
    </xf>
    <xf numFmtId="0" fontId="0" fillId="0" borderId="0" xfId="0" applyFont="1" applyFill="1" applyBorder="1" applyAlignment="1">
      <alignment horizontal="left"/>
    </xf>
    <xf numFmtId="0" fontId="17" fillId="0" borderId="5" xfId="0" applyFont="1" applyFill="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7"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Fill="1" applyBorder="1" applyAlignment="1">
      <alignment horizontal="center"/>
    </xf>
    <xf numFmtId="0" fontId="0" fillId="0" borderId="0" xfId="0" applyFont="1" applyFill="1" applyBorder="1" applyAlignment="1">
      <alignment horizontal="center"/>
    </xf>
    <xf numFmtId="0" fontId="0" fillId="0" borderId="0" xfId="0" applyAlignment="1">
      <alignment horizontal="left" vertical="top" wrapText="1"/>
    </xf>
    <xf numFmtId="0" fontId="0" fillId="0" borderId="0" xfId="0" applyFill="1" applyBorder="1" applyAlignment="1">
      <alignment horizontal="left" vertical="top" wrapText="1"/>
    </xf>
    <xf numFmtId="0" fontId="17" fillId="0" borderId="4" xfId="0" applyFont="1" applyFill="1" applyBorder="1" applyAlignment="1">
      <alignment horizontal="center"/>
    </xf>
    <xf numFmtId="0" fontId="0" fillId="0" borderId="4" xfId="0" applyFont="1" applyFill="1" applyBorder="1" applyAlignment="1">
      <alignment horizontal="center"/>
    </xf>
    <xf numFmtId="0" fontId="0" fillId="0" borderId="5" xfId="0" applyBorder="1" applyAlignment="1">
      <alignment horizontal="center"/>
    </xf>
    <xf numFmtId="0" fontId="0" fillId="0" borderId="4" xfId="0" applyFill="1" applyBorder="1" applyAlignment="1">
      <alignment horizontal="center"/>
    </xf>
    <xf numFmtId="0" fontId="17" fillId="0" borderId="4" xfId="0" applyFont="1" applyBorder="1" applyAlignment="1">
      <alignment horizontal="center" vertical="center" wrapText="1"/>
    </xf>
    <xf numFmtId="0" fontId="17" fillId="0" borderId="4" xfId="0" applyFont="1"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17" fillId="0" borderId="5" xfId="0" applyFont="1" applyBorder="1" applyAlignment="1">
      <alignment horizontal="center"/>
    </xf>
    <xf numFmtId="0" fontId="0" fillId="0" borderId="4" xfId="0" applyBorder="1" applyAlignment="1">
      <alignment horizontal="center" vertical="center" wrapText="1"/>
    </xf>
    <xf numFmtId="0" fontId="0" fillId="0" borderId="0" xfId="0" applyAlignment="1">
      <alignment horizontal="left" vertical="center" wrapText="1"/>
    </xf>
    <xf numFmtId="0" fontId="0" fillId="0" borderId="4" xfId="0" applyBorder="1" applyAlignment="1">
      <alignment horizontal="center" vertical="center"/>
    </xf>
    <xf numFmtId="0" fontId="0" fillId="0" borderId="4" xfId="0" applyFont="1" applyBorder="1" applyAlignment="1">
      <alignment horizontal="center"/>
    </xf>
    <xf numFmtId="0" fontId="17" fillId="0" borderId="4" xfId="0" applyFont="1" applyBorder="1" applyAlignment="1">
      <alignment horizontal="center" vertical="center"/>
    </xf>
    <xf numFmtId="1" fontId="0" fillId="0" borderId="4" xfId="0" applyNumberFormat="1" applyFont="1" applyFill="1" applyBorder="1" applyAlignment="1">
      <alignment horizontal="center"/>
    </xf>
    <xf numFmtId="1" fontId="0" fillId="0" borderId="4" xfId="0"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0" fontId="17" fillId="0" borderId="4" xfId="0" applyFont="1" applyBorder="1" applyAlignment="1">
      <alignment horizontal="left" vertical="center" wrapText="1"/>
    </xf>
    <xf numFmtId="0" fontId="17" fillId="0" borderId="4" xfId="0" applyFont="1" applyFill="1" applyBorder="1" applyAlignment="1">
      <alignment horizontal="center" vertical="center"/>
    </xf>
    <xf numFmtId="0" fontId="17" fillId="0" borderId="4" xfId="0" applyFont="1" applyFill="1" applyBorder="1" applyAlignment="1">
      <alignment horizontal="center" vertical="center" wrapText="1"/>
    </xf>
    <xf numFmtId="0" fontId="0" fillId="0" borderId="0" xfId="0" applyAlignment="1">
      <alignment horizontal="left" vertical="top" wrapText="1"/>
    </xf>
    <xf numFmtId="0" fontId="0" fillId="0" borderId="0" xfId="0" applyFill="1" applyBorder="1" applyAlignment="1">
      <alignment horizontal="left" vertical="top" wrapText="1"/>
    </xf>
    <xf numFmtId="0" fontId="17" fillId="0" borderId="4" xfId="0" applyFont="1" applyFill="1" applyBorder="1" applyAlignment="1">
      <alignment horizontal="center"/>
    </xf>
    <xf numFmtId="0" fontId="0" fillId="0" borderId="5" xfId="0" applyFont="1" applyFill="1" applyBorder="1" applyAlignment="1">
      <alignment horizontal="center"/>
    </xf>
    <xf numFmtId="0" fontId="0" fillId="0" borderId="6" xfId="0" applyFont="1" applyFill="1" applyBorder="1" applyAlignment="1">
      <alignment horizontal="center"/>
    </xf>
    <xf numFmtId="0" fontId="0" fillId="0" borderId="29" xfId="0" applyFont="1" applyFill="1" applyBorder="1" applyAlignment="1">
      <alignment horizontal="center"/>
    </xf>
    <xf numFmtId="0" fontId="0" fillId="0" borderId="4" xfId="0" applyFont="1" applyFill="1" applyBorder="1" applyAlignment="1">
      <alignment horizontal="center"/>
    </xf>
    <xf numFmtId="0" fontId="0" fillId="0" borderId="5" xfId="0" applyFill="1" applyBorder="1" applyAlignment="1">
      <alignment horizontal="center"/>
    </xf>
    <xf numFmtId="0" fontId="0" fillId="0" borderId="6" xfId="0" applyFill="1" applyBorder="1" applyAlignment="1">
      <alignment horizontal="center"/>
    </xf>
    <xf numFmtId="0" fontId="0" fillId="0" borderId="29" xfId="0" applyFill="1" applyBorder="1" applyAlignment="1">
      <alignment horizontal="center"/>
    </xf>
    <xf numFmtId="0" fontId="0" fillId="0" borderId="4" xfId="0" applyFill="1" applyBorder="1" applyAlignment="1">
      <alignment horizontal="center"/>
    </xf>
    <xf numFmtId="0" fontId="0" fillId="0" borderId="5" xfId="0" applyBorder="1" applyAlignment="1">
      <alignment horizontal="center"/>
    </xf>
    <xf numFmtId="0" fontId="0" fillId="0" borderId="29"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17" fillId="0" borderId="4" xfId="0" applyFont="1"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17" fillId="0" borderId="5" xfId="0" applyFont="1" applyFill="1" applyBorder="1" applyAlignment="1">
      <alignment horizontal="center"/>
    </xf>
    <xf numFmtId="0" fontId="17" fillId="0" borderId="6" xfId="0" applyFont="1" applyFill="1" applyBorder="1" applyAlignment="1">
      <alignment horizontal="center"/>
    </xf>
    <xf numFmtId="0" fontId="17" fillId="0" borderId="29" xfId="0" applyFont="1" applyFill="1" applyBorder="1" applyAlignment="1">
      <alignment horizontal="center"/>
    </xf>
    <xf numFmtId="0" fontId="0" fillId="0" borderId="0" xfId="0" applyAlignment="1">
      <alignment horizontal="left" vertical="center" wrapText="1"/>
    </xf>
    <xf numFmtId="0" fontId="0" fillId="0" borderId="4" xfId="0" applyBorder="1" applyAlignment="1">
      <alignment horizontal="center" vertical="center"/>
    </xf>
    <xf numFmtId="0" fontId="0" fillId="0" borderId="4" xfId="0" applyFont="1" applyBorder="1" applyAlignment="1">
      <alignment horizontal="center"/>
    </xf>
    <xf numFmtId="0" fontId="17" fillId="0" borderId="4" xfId="0" applyFont="1" applyBorder="1" applyAlignment="1">
      <alignment horizontal="center" vertical="center"/>
    </xf>
    <xf numFmtId="1" fontId="0" fillId="0" borderId="6" xfId="0" applyNumberFormat="1" applyFont="1" applyFill="1" applyBorder="1" applyAlignment="1">
      <alignment horizontal="center"/>
    </xf>
    <xf numFmtId="1" fontId="0" fillId="0" borderId="29" xfId="0" applyNumberFormat="1" applyFont="1" applyFill="1" applyBorder="1" applyAlignment="1">
      <alignment horizontal="center"/>
    </xf>
    <xf numFmtId="1" fontId="0" fillId="0" borderId="4" xfId="0" applyNumberFormat="1" applyFont="1" applyFill="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 fontId="0" fillId="0" borderId="4" xfId="0" applyNumberFormat="1" applyBorder="1" applyAlignment="1">
      <alignment horizontal="center"/>
    </xf>
    <xf numFmtId="14" fontId="0" fillId="0" borderId="4" xfId="0" applyNumberFormat="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0" fillId="0" borderId="0" xfId="0" applyBorder="1" applyAlignment="1">
      <alignment horizontal="left" vertical="top" wrapText="1"/>
    </xf>
    <xf numFmtId="0" fontId="17" fillId="0" borderId="4" xfId="0" applyFont="1" applyFill="1" applyBorder="1" applyAlignment="1">
      <alignment horizontal="center" vertical="center"/>
    </xf>
    <xf numFmtId="0" fontId="0" fillId="0" borderId="4" xfId="0" applyFont="1" applyFill="1" applyBorder="1" applyAlignment="1">
      <alignment horizontal="center" vertical="center"/>
    </xf>
    <xf numFmtId="0" fontId="17" fillId="0" borderId="0" xfId="0" applyFont="1" applyAlignment="1">
      <alignment horizontal="center" vertical="top"/>
    </xf>
    <xf numFmtId="173" fontId="0" fillId="0" borderId="4" xfId="0" applyNumberFormat="1" applyFont="1" applyFill="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0" fillId="0" borderId="4" xfId="0" applyNumberFormat="1" applyBorder="1" applyAlignment="1">
      <alignment horizontal="center"/>
    </xf>
    <xf numFmtId="0" fontId="17" fillId="0" borderId="4" xfId="0" applyFont="1" applyFill="1" applyBorder="1" applyAlignment="1">
      <alignment horizontal="center" vertical="center"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4" xfId="0" applyBorder="1" applyAlignment="1">
      <alignment horizontal="left" vertical="top"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37" xfId="0" applyBorder="1" applyAlignment="1">
      <alignment horizontal="left" vertical="center" wrapText="1"/>
    </xf>
    <xf numFmtId="0" fontId="0" fillId="0" borderId="0" xfId="0" applyBorder="1" applyAlignment="1">
      <alignment horizontal="left" vertical="center" wrapText="1"/>
    </xf>
    <xf numFmtId="168" fontId="17" fillId="0" borderId="4" xfId="0" applyNumberFormat="1" applyFont="1" applyBorder="1" applyAlignment="1">
      <alignment horizontal="center" wrapText="1"/>
    </xf>
    <xf numFmtId="0" fontId="17" fillId="0" borderId="5" xfId="0" quotePrefix="1" applyFont="1" applyFill="1" applyBorder="1" applyAlignment="1">
      <alignment horizontal="center"/>
    </xf>
    <xf numFmtId="0" fontId="17" fillId="0" borderId="5" xfId="0" quotePrefix="1" applyFont="1" applyFill="1" applyBorder="1" applyAlignment="1"/>
    <xf numFmtId="0" fontId="17" fillId="0" borderId="6" xfId="0" applyFont="1" applyFill="1" applyBorder="1" applyAlignment="1"/>
    <xf numFmtId="0" fontId="17" fillId="0" borderId="29" xfId="0" applyFont="1" applyFill="1" applyBorder="1" applyAlignment="1"/>
    <xf numFmtId="0" fontId="17" fillId="0" borderId="6" xfId="0" quotePrefix="1" applyFont="1" applyFill="1" applyBorder="1" applyAlignment="1">
      <alignment horizontal="center"/>
    </xf>
    <xf numFmtId="1" fontId="17" fillId="0" borderId="6" xfId="0" applyNumberFormat="1" applyFont="1" applyFill="1" applyBorder="1" applyAlignment="1">
      <alignment horizontal="center"/>
    </xf>
    <xf numFmtId="1" fontId="17" fillId="0" borderId="29" xfId="0" applyNumberFormat="1" applyFont="1" applyFill="1" applyBorder="1" applyAlignment="1">
      <alignment horizontal="center"/>
    </xf>
    <xf numFmtId="1" fontId="17" fillId="0" borderId="5" xfId="0" quotePrefix="1" applyNumberFormat="1" applyFont="1" applyFill="1" applyBorder="1" applyAlignment="1">
      <alignment horizontal="center"/>
    </xf>
    <xf numFmtId="1" fontId="0" fillId="0" borderId="5" xfId="0" quotePrefix="1" applyNumberFormat="1" applyFont="1" applyFill="1" applyBorder="1" applyAlignment="1">
      <alignment horizontal="center"/>
    </xf>
    <xf numFmtId="14" fontId="0" fillId="0" borderId="4" xfId="0" applyNumberFormat="1" applyFont="1" applyFill="1" applyBorder="1" applyAlignment="1">
      <alignment horizontal="center"/>
    </xf>
    <xf numFmtId="168" fontId="0" fillId="0" borderId="41" xfId="0" applyNumberFormat="1" applyBorder="1"/>
    <xf numFmtId="0" fontId="0" fillId="0" borderId="32" xfId="0" applyBorder="1" applyAlignment="1">
      <alignment horizontal="center"/>
    </xf>
    <xf numFmtId="167" fontId="7" fillId="2" borderId="4" xfId="3" applyNumberFormat="1" applyFont="1" applyFill="1" applyBorder="1" applyAlignment="1">
      <alignment horizontal="left" wrapText="1"/>
    </xf>
    <xf numFmtId="175" fontId="0" fillId="0" borderId="4" xfId="0" applyNumberFormat="1" applyBorder="1" applyAlignment="1">
      <alignment horizontal="center"/>
    </xf>
    <xf numFmtId="176" fontId="0" fillId="0" borderId="4" xfId="0" applyNumberFormat="1" applyBorder="1" applyAlignment="1">
      <alignment horizontal="center"/>
    </xf>
    <xf numFmtId="0" fontId="0" fillId="0" borderId="4" xfId="0" applyNumberFormat="1" applyFont="1" applyFill="1" applyBorder="1" applyAlignment="1">
      <alignment horizontal="center"/>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unny/Downloads/Excel%20Heaven%20(Functions).xls" TargetMode="External"/><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topLeftCell="A17" zoomScale="90" zoomScaleNormal="90" workbookViewId="0">
      <selection activeCell="E37" sqref="E37"/>
    </sheetView>
  </sheetViews>
  <sheetFormatPr defaultRowHeight="15"/>
  <cols>
    <col min="1" max="1" width="10" customWidth="1"/>
    <col min="2" max="2" width="11.5703125" bestFit="1" customWidth="1"/>
    <col min="3" max="3" width="10.140625" customWidth="1"/>
    <col min="9" max="9" width="10.140625" customWidth="1"/>
    <col min="10" max="10" width="12.140625" customWidth="1"/>
    <col min="11" max="11" width="11.28515625" customWidth="1"/>
    <col min="12" max="12" width="10.140625" customWidth="1"/>
  </cols>
  <sheetData>
    <row r="1" spans="1:12" ht="32.25" thickBot="1">
      <c r="A1" s="75" t="s">
        <v>0</v>
      </c>
      <c r="B1" s="76"/>
      <c r="C1" s="76"/>
      <c r="D1" s="76"/>
      <c r="E1" s="76"/>
      <c r="F1" s="76"/>
      <c r="G1" s="76"/>
      <c r="H1" s="76"/>
      <c r="I1" s="76"/>
      <c r="J1" s="76"/>
      <c r="K1" s="76"/>
      <c r="L1" s="76"/>
    </row>
    <row r="2" spans="1:12" ht="15.75" thickTop="1"/>
    <row r="3" spans="1:12" ht="18.75">
      <c r="A3" s="74" t="s">
        <v>1</v>
      </c>
    </row>
    <row r="4" spans="1:12">
      <c r="A4" t="s">
        <v>2</v>
      </c>
    </row>
    <row r="6" spans="1:12" ht="18.75">
      <c r="A6" s="74" t="s">
        <v>3</v>
      </c>
    </row>
    <row r="7" spans="1:12" ht="15.75">
      <c r="A7" s="77" t="s">
        <v>4</v>
      </c>
    </row>
    <row r="9" spans="1:12" ht="15.75">
      <c r="A9" s="73" t="s">
        <v>5</v>
      </c>
    </row>
    <row r="10" spans="1:12">
      <c r="A10" s="167" t="s">
        <v>6</v>
      </c>
      <c r="B10" s="167"/>
      <c r="C10" s="167"/>
      <c r="D10" s="167"/>
      <c r="E10" s="167"/>
      <c r="F10" s="167"/>
      <c r="G10" s="167"/>
      <c r="H10" s="167"/>
      <c r="I10" s="167"/>
      <c r="J10" s="167"/>
      <c r="K10" s="167"/>
    </row>
    <row r="11" spans="1:12">
      <c r="A11" s="167"/>
      <c r="B11" s="167"/>
      <c r="C11" s="167"/>
      <c r="D11" s="167"/>
      <c r="E11" s="167"/>
      <c r="F11" s="167"/>
      <c r="G11" s="167"/>
      <c r="H11" s="167"/>
      <c r="I11" s="167"/>
      <c r="J11" s="167"/>
      <c r="K11" s="167"/>
    </row>
    <row r="12" spans="1:12">
      <c r="A12" s="144"/>
      <c r="B12" s="144"/>
      <c r="C12" s="144"/>
      <c r="D12" s="144"/>
      <c r="E12" s="144"/>
      <c r="F12" s="144"/>
      <c r="G12" s="144"/>
      <c r="H12" s="144"/>
      <c r="I12" s="144"/>
      <c r="J12" s="144"/>
      <c r="K12" s="144"/>
    </row>
    <row r="13" spans="1:12" ht="15.75">
      <c r="A13" s="73" t="s">
        <v>7</v>
      </c>
    </row>
    <row r="14" spans="1:12">
      <c r="A14" t="s">
        <v>8</v>
      </c>
    </row>
    <row r="16" spans="1:12" ht="15.75">
      <c r="A16" s="73" t="s">
        <v>9</v>
      </c>
    </row>
    <row r="17" spans="1:11">
      <c r="A17" t="s">
        <v>10</v>
      </c>
    </row>
    <row r="19" spans="1:11" ht="15.75">
      <c r="A19" s="73" t="s">
        <v>11</v>
      </c>
    </row>
    <row r="20" spans="1:11">
      <c r="A20" t="s">
        <v>12</v>
      </c>
    </row>
    <row r="21" spans="1:11">
      <c r="A21" s="151" t="s">
        <v>13</v>
      </c>
      <c r="B21" s="151" t="s">
        <v>14</v>
      </c>
      <c r="C21" s="151" t="s">
        <v>15</v>
      </c>
      <c r="D21" s="169" t="s">
        <v>16</v>
      </c>
      <c r="E21" s="169"/>
      <c r="F21" s="169"/>
    </row>
    <row r="22" spans="1:11">
      <c r="A22" s="152" t="s">
        <v>17</v>
      </c>
      <c r="B22" s="152">
        <v>90</v>
      </c>
      <c r="C22" s="151" t="str">
        <f>IF(B22&gt;=40,"Pass","Fail")</f>
        <v>Pass</v>
      </c>
      <c r="D22" s="170" t="s">
        <v>18</v>
      </c>
      <c r="E22" s="171"/>
      <c r="F22" s="172"/>
    </row>
    <row r="23" spans="1:11">
      <c r="A23" s="152" t="s">
        <v>19</v>
      </c>
      <c r="B23" s="152">
        <v>70</v>
      </c>
      <c r="C23" s="151" t="str">
        <f t="shared" ref="C23:C25" si="0">IF(B23&gt;=40,"Pass","Fail")</f>
        <v>Pass</v>
      </c>
      <c r="D23" s="170" t="s">
        <v>20</v>
      </c>
      <c r="E23" s="171"/>
      <c r="F23" s="172"/>
    </row>
    <row r="24" spans="1:11">
      <c r="A24" s="152" t="s">
        <v>21</v>
      </c>
      <c r="B24" s="152">
        <v>20</v>
      </c>
      <c r="C24" s="151" t="str">
        <f t="shared" si="0"/>
        <v>Fail</v>
      </c>
      <c r="D24" s="170" t="s">
        <v>22</v>
      </c>
      <c r="E24" s="171"/>
      <c r="F24" s="172"/>
    </row>
    <row r="25" spans="1:11">
      <c r="A25" s="152" t="s">
        <v>23</v>
      </c>
      <c r="B25" s="152">
        <v>41</v>
      </c>
      <c r="C25" s="151" t="str">
        <f t="shared" si="0"/>
        <v>Pass</v>
      </c>
      <c r="D25" s="173" t="s">
        <v>24</v>
      </c>
      <c r="E25" s="173"/>
      <c r="F25" s="173"/>
    </row>
    <row r="27" spans="1:11" ht="15.75">
      <c r="A27" s="73" t="s">
        <v>25</v>
      </c>
    </row>
    <row r="28" spans="1:11" ht="15" customHeight="1">
      <c r="A28" s="168" t="s">
        <v>26</v>
      </c>
      <c r="B28" s="168"/>
      <c r="C28" s="168"/>
      <c r="D28" s="168"/>
      <c r="E28" s="168"/>
      <c r="F28" s="168"/>
      <c r="G28" s="168"/>
      <c r="H28" s="168"/>
      <c r="I28" s="168"/>
      <c r="J28" s="168"/>
      <c r="K28" s="168"/>
    </row>
    <row r="29" spans="1:11">
      <c r="A29" s="168"/>
      <c r="B29" s="168"/>
      <c r="C29" s="168"/>
      <c r="D29" s="168"/>
      <c r="E29" s="168"/>
      <c r="F29" s="168"/>
      <c r="G29" s="168"/>
      <c r="H29" s="168"/>
      <c r="I29" s="168"/>
      <c r="J29" s="168"/>
      <c r="K29" s="168"/>
    </row>
    <row r="30" spans="1:11">
      <c r="A30" s="145"/>
      <c r="B30" s="145"/>
      <c r="C30" s="145"/>
      <c r="D30" s="145"/>
      <c r="E30" s="145"/>
      <c r="F30" s="145"/>
      <c r="G30" s="145"/>
      <c r="H30" s="145"/>
      <c r="I30" s="145"/>
      <c r="J30" s="145"/>
    </row>
    <row r="31" spans="1:11" ht="15.75">
      <c r="A31" s="73" t="s">
        <v>27</v>
      </c>
    </row>
    <row r="32" spans="1:11">
      <c r="A32" t="s">
        <v>28</v>
      </c>
    </row>
    <row r="33" spans="1:3">
      <c r="A33" s="151" t="s">
        <v>29</v>
      </c>
      <c r="B33" s="151" t="s">
        <v>30</v>
      </c>
      <c r="C33" s="151" t="s">
        <v>31</v>
      </c>
    </row>
    <row r="34" spans="1:3" ht="30.75">
      <c r="A34" s="152" t="s">
        <v>32</v>
      </c>
      <c r="B34" s="152" t="s">
        <v>33</v>
      </c>
      <c r="C34" s="249" t="str">
        <f>IF(B34="AVP","$2,000","$1,000")</f>
        <v>$2,000</v>
      </c>
    </row>
    <row r="35" spans="1:3">
      <c r="A35" s="152" t="s">
        <v>34</v>
      </c>
      <c r="B35" s="152" t="s">
        <v>35</v>
      </c>
      <c r="C35" s="249" t="str">
        <f t="shared" ref="C35:C37" si="1">IF(B35="AVP","$2,000","$1,000")</f>
        <v>$1,000</v>
      </c>
    </row>
    <row r="36" spans="1:3">
      <c r="A36" s="152" t="s">
        <v>36</v>
      </c>
      <c r="B36" s="152" t="s">
        <v>35</v>
      </c>
      <c r="C36" s="249" t="str">
        <f t="shared" si="1"/>
        <v>$1,000</v>
      </c>
    </row>
    <row r="37" spans="1:3">
      <c r="A37" s="152" t="s">
        <v>37</v>
      </c>
      <c r="B37" s="152" t="s">
        <v>35</v>
      </c>
      <c r="C37" s="249" t="str">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25" zoomScale="90" zoomScaleNormal="90" workbookViewId="0">
      <selection activeCell="E36" sqref="E36:E39"/>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5" t="s">
        <v>38</v>
      </c>
      <c r="B1" s="76"/>
      <c r="C1" s="76"/>
      <c r="D1" s="76"/>
      <c r="E1" s="76"/>
      <c r="F1" s="76"/>
      <c r="G1" s="76"/>
      <c r="H1" s="76"/>
      <c r="I1" s="76"/>
      <c r="J1" s="76"/>
      <c r="K1" s="76"/>
      <c r="L1" s="76"/>
    </row>
    <row r="2" spans="1:12" ht="15.75" thickTop="1"/>
    <row r="3" spans="1:12" ht="18.75">
      <c r="A3" s="74" t="s">
        <v>1</v>
      </c>
    </row>
    <row r="4" spans="1:12">
      <c r="A4" s="167" t="s">
        <v>39</v>
      </c>
      <c r="B4" s="167"/>
      <c r="C4" s="167"/>
      <c r="D4" s="167"/>
      <c r="E4" s="167"/>
      <c r="F4" s="167"/>
      <c r="G4" s="167"/>
      <c r="H4" s="167"/>
      <c r="I4" s="167"/>
      <c r="J4" s="167"/>
    </row>
    <row r="5" spans="1:12">
      <c r="A5" s="167"/>
      <c r="B5" s="167"/>
      <c r="C5" s="167"/>
      <c r="D5" s="167"/>
      <c r="E5" s="167"/>
      <c r="F5" s="167"/>
      <c r="G5" s="167"/>
      <c r="H5" s="167"/>
      <c r="I5" s="167"/>
      <c r="J5" s="167"/>
    </row>
    <row r="6" spans="1:12">
      <c r="A6" s="144"/>
      <c r="B6" s="144"/>
      <c r="C6" s="144"/>
      <c r="D6" s="144"/>
      <c r="E6" s="144"/>
      <c r="F6" s="144"/>
      <c r="G6" s="144"/>
      <c r="H6" s="144"/>
      <c r="I6" s="144"/>
      <c r="J6" s="144"/>
    </row>
    <row r="7" spans="1:12" ht="18.75">
      <c r="A7" s="74" t="s">
        <v>3</v>
      </c>
    </row>
    <row r="8" spans="1:12" ht="15.75">
      <c r="A8" s="77" t="s">
        <v>40</v>
      </c>
    </row>
    <row r="10" spans="1:12" ht="15.75">
      <c r="A10" s="73" t="s">
        <v>41</v>
      </c>
    </row>
    <row r="11" spans="1:12">
      <c r="A11" t="s">
        <v>42</v>
      </c>
    </row>
    <row r="13" spans="1:12" ht="15.75">
      <c r="A13" s="73" t="s">
        <v>43</v>
      </c>
    </row>
    <row r="14" spans="1:12">
      <c r="A14" t="s">
        <v>44</v>
      </c>
    </row>
    <row r="16" spans="1:12" ht="15.75">
      <c r="A16" s="73" t="s">
        <v>45</v>
      </c>
    </row>
    <row r="17" spans="1:10">
      <c r="A17" t="s">
        <v>46</v>
      </c>
    </row>
    <row r="18" spans="1:10">
      <c r="A18" s="151" t="s">
        <v>47</v>
      </c>
      <c r="B18" s="151" t="s">
        <v>48</v>
      </c>
      <c r="C18" s="151" t="s">
        <v>49</v>
      </c>
      <c r="D18" s="169" t="s">
        <v>16</v>
      </c>
      <c r="E18" s="169"/>
    </row>
    <row r="19" spans="1:10">
      <c r="A19" s="82">
        <v>1</v>
      </c>
      <c r="B19" s="82">
        <v>2</v>
      </c>
      <c r="C19" s="152" t="b">
        <f>AND(A19&gt;0,B19&gt;0)</f>
        <v>1</v>
      </c>
      <c r="D19" s="178" t="s">
        <v>50</v>
      </c>
      <c r="E19" s="179"/>
    </row>
    <row r="20" spans="1:10">
      <c r="A20" s="82">
        <v>1</v>
      </c>
      <c r="B20" s="82">
        <v>-2</v>
      </c>
      <c r="C20" s="152" t="b">
        <f>AND(A20&gt;0,B20&gt;0)</f>
        <v>0</v>
      </c>
      <c r="D20" s="178" t="s">
        <v>51</v>
      </c>
      <c r="E20" s="179"/>
    </row>
    <row r="21" spans="1:10" ht="15.75">
      <c r="A21" s="73"/>
    </row>
    <row r="22" spans="1:10" ht="15.75">
      <c r="A22" s="73" t="s">
        <v>52</v>
      </c>
    </row>
    <row r="23" spans="1:10">
      <c r="A23" s="167" t="s">
        <v>53</v>
      </c>
      <c r="B23" s="167"/>
      <c r="C23" s="167"/>
      <c r="D23" s="167"/>
      <c r="E23" s="167"/>
      <c r="F23" s="167"/>
      <c r="G23" s="167"/>
      <c r="H23" s="167"/>
      <c r="I23" s="167"/>
      <c r="J23" s="167"/>
    </row>
    <row r="24" spans="1:10">
      <c r="A24" s="167"/>
      <c r="B24" s="167"/>
      <c r="C24" s="167"/>
      <c r="D24" s="167"/>
      <c r="E24" s="167"/>
      <c r="F24" s="167"/>
      <c r="G24" s="167"/>
      <c r="H24" s="167"/>
      <c r="I24" s="167"/>
      <c r="J24" s="167"/>
    </row>
    <row r="25" spans="1:10">
      <c r="A25" s="151" t="s">
        <v>13</v>
      </c>
      <c r="B25" s="151" t="s">
        <v>54</v>
      </c>
      <c r="C25" s="146" t="s">
        <v>55</v>
      </c>
      <c r="D25" s="146" t="s">
        <v>56</v>
      </c>
      <c r="E25" s="169" t="s">
        <v>16</v>
      </c>
      <c r="F25" s="169"/>
      <c r="G25" s="169"/>
      <c r="H25" s="169"/>
      <c r="I25" s="169"/>
    </row>
    <row r="26" spans="1:10">
      <c r="A26" s="152" t="s">
        <v>17</v>
      </c>
      <c r="B26" s="152" t="s">
        <v>57</v>
      </c>
      <c r="C26" s="147" t="s">
        <v>57</v>
      </c>
      <c r="D26" s="152" t="str">
        <f>IF(AND(B26="PASS",C26="PASS"),"PASS","FAIL")</f>
        <v>PASS</v>
      </c>
      <c r="E26" s="174" t="s">
        <v>58</v>
      </c>
      <c r="F26" s="175"/>
      <c r="G26" s="175"/>
      <c r="H26" s="175"/>
      <c r="I26" s="176"/>
    </row>
    <row r="27" spans="1:10">
      <c r="A27" s="152" t="s">
        <v>19</v>
      </c>
      <c r="B27" s="152" t="s">
        <v>57</v>
      </c>
      <c r="C27" s="147" t="s">
        <v>59</v>
      </c>
      <c r="D27" s="152" t="str">
        <f t="shared" ref="D27:D29" si="0">IF(AND(B27="PASS",C27="PASS"),"PASS","FAIL")</f>
        <v>FAIL</v>
      </c>
      <c r="E27" s="174" t="s">
        <v>60</v>
      </c>
      <c r="F27" s="175"/>
      <c r="G27" s="175"/>
      <c r="H27" s="175"/>
      <c r="I27" s="176"/>
    </row>
    <row r="28" spans="1:10">
      <c r="A28" s="152" t="s">
        <v>21</v>
      </c>
      <c r="B28" s="152" t="s">
        <v>59</v>
      </c>
      <c r="C28" s="147" t="s">
        <v>57</v>
      </c>
      <c r="D28" s="152" t="str">
        <f t="shared" si="0"/>
        <v>FAIL</v>
      </c>
      <c r="E28" s="174" t="s">
        <v>61</v>
      </c>
      <c r="F28" s="175"/>
      <c r="G28" s="175"/>
      <c r="H28" s="175"/>
      <c r="I28" s="176"/>
    </row>
    <row r="29" spans="1:10">
      <c r="A29" s="152" t="s">
        <v>23</v>
      </c>
      <c r="B29" s="152" t="s">
        <v>57</v>
      </c>
      <c r="C29" s="147" t="s">
        <v>57</v>
      </c>
      <c r="D29" s="152" t="str">
        <f t="shared" si="0"/>
        <v>PASS</v>
      </c>
      <c r="E29" s="177" t="s">
        <v>62</v>
      </c>
      <c r="F29" s="177"/>
      <c r="G29" s="177"/>
      <c r="H29" s="177"/>
      <c r="I29" s="177"/>
    </row>
    <row r="32" spans="1:10" ht="15.75">
      <c r="A32" s="73" t="s">
        <v>27</v>
      </c>
    </row>
    <row r="33" spans="1:10" ht="15" customHeight="1">
      <c r="A33" s="167" t="s">
        <v>63</v>
      </c>
      <c r="B33" s="167"/>
      <c r="C33" s="167"/>
      <c r="D33" s="167"/>
      <c r="E33" s="167"/>
      <c r="F33" s="167"/>
      <c r="G33" s="167"/>
      <c r="H33" s="167"/>
      <c r="I33" s="167"/>
      <c r="J33" s="167"/>
    </row>
    <row r="34" spans="1:10">
      <c r="A34" s="167"/>
      <c r="B34" s="167"/>
      <c r="C34" s="167"/>
      <c r="D34" s="167"/>
      <c r="E34" s="167"/>
      <c r="F34" s="167"/>
      <c r="G34" s="167"/>
      <c r="H34" s="167"/>
      <c r="I34" s="167"/>
      <c r="J34" s="167"/>
    </row>
    <row r="35" spans="1:10" ht="37.5" customHeight="1">
      <c r="A35" s="159" t="s">
        <v>29</v>
      </c>
      <c r="B35" s="159" t="s">
        <v>30</v>
      </c>
      <c r="C35" s="159" t="s">
        <v>64</v>
      </c>
      <c r="D35" s="150" t="s">
        <v>65</v>
      </c>
      <c r="E35" s="166" t="s">
        <v>66</v>
      </c>
    </row>
    <row r="36" spans="1:10">
      <c r="A36" s="152" t="s">
        <v>32</v>
      </c>
      <c r="B36" s="152" t="s">
        <v>33</v>
      </c>
      <c r="C36" s="81">
        <v>51</v>
      </c>
      <c r="D36" s="81" t="s">
        <v>67</v>
      </c>
      <c r="E36" s="79" t="str">
        <f>IF(AND(C36&gt;50,D36="YES"),"GOOD","NO")</f>
        <v>GOOD</v>
      </c>
    </row>
    <row r="37" spans="1:10">
      <c r="A37" s="152" t="s">
        <v>34</v>
      </c>
      <c r="B37" s="152" t="s">
        <v>35</v>
      </c>
      <c r="C37" s="81">
        <v>100</v>
      </c>
      <c r="D37" s="81" t="s">
        <v>68</v>
      </c>
      <c r="E37" s="79" t="str">
        <f t="shared" ref="E37:E39" si="1">IF(AND(C37&gt;50,D37="YES"),"GOOD","NO")</f>
        <v>NO</v>
      </c>
    </row>
    <row r="38" spans="1:10">
      <c r="A38" s="152" t="s">
        <v>36</v>
      </c>
      <c r="B38" s="152" t="s">
        <v>35</v>
      </c>
      <c r="C38" s="81">
        <v>49</v>
      </c>
      <c r="D38" s="81" t="s">
        <v>67</v>
      </c>
      <c r="E38" s="79" t="str">
        <f t="shared" si="1"/>
        <v>NO</v>
      </c>
    </row>
    <row r="39" spans="1:10">
      <c r="A39" s="152" t="s">
        <v>37</v>
      </c>
      <c r="B39" s="152" t="s">
        <v>35</v>
      </c>
      <c r="C39" s="81">
        <v>75</v>
      </c>
      <c r="D39" s="81" t="s">
        <v>67</v>
      </c>
      <c r="E39" s="79" t="str">
        <f t="shared" si="1"/>
        <v>GOOD</v>
      </c>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26" zoomScale="90" zoomScaleNormal="90" workbookViewId="0">
      <selection activeCell="G36" sqref="G36:G39"/>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9" max="9" width="11.42578125" customWidth="1"/>
    <col min="10" max="10" width="12.140625" customWidth="1"/>
    <col min="11" max="11" width="11.28515625" customWidth="1"/>
    <col min="12" max="12" width="10.140625" customWidth="1"/>
  </cols>
  <sheetData>
    <row r="1" spans="1:12" ht="32.25" thickBot="1">
      <c r="A1" s="180" t="s">
        <v>69</v>
      </c>
      <c r="B1" s="180"/>
      <c r="C1" s="76"/>
      <c r="D1" s="76"/>
      <c r="E1" s="76"/>
      <c r="F1" s="76"/>
      <c r="G1" s="76"/>
      <c r="H1" s="76"/>
      <c r="I1" s="76"/>
      <c r="J1" s="76"/>
      <c r="K1" s="76"/>
      <c r="L1" s="76"/>
    </row>
    <row r="2" spans="1:12" ht="15.75" thickTop="1"/>
    <row r="3" spans="1:12" ht="18.75">
      <c r="A3" s="74" t="s">
        <v>1</v>
      </c>
    </row>
    <row r="4" spans="1:12">
      <c r="A4" s="167" t="s">
        <v>70</v>
      </c>
      <c r="B4" s="167"/>
      <c r="C4" s="167"/>
      <c r="D4" s="167"/>
      <c r="E4" s="167"/>
      <c r="F4" s="167"/>
      <c r="G4" s="167"/>
      <c r="H4" s="167"/>
      <c r="I4" s="167"/>
      <c r="J4" s="167"/>
    </row>
    <row r="5" spans="1:12">
      <c r="A5" s="167"/>
      <c r="B5" s="167"/>
      <c r="C5" s="167"/>
      <c r="D5" s="167"/>
      <c r="E5" s="167"/>
      <c r="F5" s="167"/>
      <c r="G5" s="167"/>
      <c r="H5" s="167"/>
      <c r="I5" s="167"/>
      <c r="J5" s="167"/>
    </row>
    <row r="6" spans="1:12" ht="18.75">
      <c r="A6" s="74" t="s">
        <v>3</v>
      </c>
    </row>
    <row r="7" spans="1:12" ht="15.75">
      <c r="A7" s="77" t="s">
        <v>71</v>
      </c>
    </row>
    <row r="9" spans="1:12" ht="15.75">
      <c r="A9" s="73" t="s">
        <v>5</v>
      </c>
    </row>
    <row r="10" spans="1:12">
      <c r="A10" s="167" t="s">
        <v>72</v>
      </c>
      <c r="B10" s="167"/>
      <c r="C10" s="167"/>
      <c r="D10" s="167"/>
      <c r="E10" s="167"/>
      <c r="F10" s="167"/>
      <c r="G10" s="167"/>
      <c r="H10" s="167"/>
      <c r="I10" s="167"/>
      <c r="J10" s="167"/>
      <c r="K10" s="167"/>
    </row>
    <row r="11" spans="1:12">
      <c r="A11" s="167"/>
      <c r="B11" s="167"/>
      <c r="C11" s="167"/>
      <c r="D11" s="167"/>
      <c r="E11" s="167"/>
      <c r="F11" s="167"/>
      <c r="G11" s="167"/>
      <c r="H11" s="167"/>
      <c r="I11" s="167"/>
      <c r="J11" s="167"/>
      <c r="K11" s="167"/>
    </row>
    <row r="12" spans="1:12">
      <c r="A12" s="144"/>
      <c r="B12" s="144"/>
      <c r="C12" s="144"/>
      <c r="D12" s="144"/>
      <c r="E12" s="144"/>
      <c r="F12" s="144"/>
      <c r="G12" s="144"/>
      <c r="H12" s="144"/>
      <c r="I12" s="144"/>
      <c r="J12" s="144"/>
      <c r="K12" s="144"/>
    </row>
    <row r="13" spans="1:12" ht="15.75">
      <c r="A13" s="73" t="s">
        <v>7</v>
      </c>
    </row>
    <row r="14" spans="1:12">
      <c r="A14" t="s">
        <v>8</v>
      </c>
    </row>
    <row r="16" spans="1:12" ht="15.75">
      <c r="A16" s="73" t="s">
        <v>9</v>
      </c>
    </row>
    <row r="17" spans="1:10">
      <c r="A17" t="s">
        <v>10</v>
      </c>
    </row>
    <row r="19" spans="1:10" ht="15.75">
      <c r="A19" s="73" t="s">
        <v>73</v>
      </c>
    </row>
    <row r="20" spans="1:10">
      <c r="A20" t="s">
        <v>74</v>
      </c>
    </row>
    <row r="22" spans="1:10" ht="15.75">
      <c r="A22" s="73" t="s">
        <v>11</v>
      </c>
    </row>
    <row r="23" spans="1:10">
      <c r="A23" t="s">
        <v>75</v>
      </c>
    </row>
    <row r="24" spans="1:10">
      <c r="A24" s="181" t="s">
        <v>76</v>
      </c>
      <c r="B24" s="181"/>
      <c r="D24" s="181" t="s">
        <v>77</v>
      </c>
      <c r="E24" s="181"/>
      <c r="F24" s="181"/>
      <c r="G24" s="181"/>
      <c r="H24" s="181"/>
      <c r="I24" s="181"/>
    </row>
    <row r="25" spans="1:10">
      <c r="A25" s="151" t="s">
        <v>78</v>
      </c>
      <c r="B25" s="151" t="s">
        <v>79</v>
      </c>
      <c r="D25" s="151" t="s">
        <v>13</v>
      </c>
      <c r="E25" s="151" t="s">
        <v>14</v>
      </c>
      <c r="F25" s="146" t="s">
        <v>79</v>
      </c>
      <c r="G25" s="169" t="s">
        <v>16</v>
      </c>
      <c r="H25" s="169"/>
      <c r="I25" s="169"/>
    </row>
    <row r="26" spans="1:10">
      <c r="A26" s="152" t="s">
        <v>80</v>
      </c>
      <c r="B26" s="152" t="s">
        <v>81</v>
      </c>
      <c r="D26" s="152" t="s">
        <v>17</v>
      </c>
      <c r="E26" s="152">
        <v>90</v>
      </c>
      <c r="F26" s="152" t="str">
        <f>IF(E26&lt; 41,"C",IF(E26&lt; 71,"B","A"))</f>
        <v>A</v>
      </c>
      <c r="G26" s="173" t="s">
        <v>82</v>
      </c>
      <c r="H26" s="173"/>
      <c r="I26" s="173"/>
    </row>
    <row r="27" spans="1:10">
      <c r="A27" s="152" t="s">
        <v>83</v>
      </c>
      <c r="B27" s="152" t="s">
        <v>84</v>
      </c>
      <c r="D27" s="152" t="s">
        <v>19</v>
      </c>
      <c r="E27" s="152">
        <v>70</v>
      </c>
      <c r="F27" s="152" t="str">
        <f t="shared" ref="F27:F29" si="0">IF(E27&lt; 41,"C",IF(E27&lt; 71,"B","A"))</f>
        <v>B</v>
      </c>
      <c r="G27" s="173" t="s">
        <v>85</v>
      </c>
      <c r="H27" s="173"/>
      <c r="I27" s="173"/>
    </row>
    <row r="28" spans="1:10">
      <c r="A28" s="152" t="s">
        <v>86</v>
      </c>
      <c r="B28" s="152" t="s">
        <v>87</v>
      </c>
      <c r="D28" s="152" t="s">
        <v>21</v>
      </c>
      <c r="E28" s="152">
        <v>20</v>
      </c>
      <c r="F28" s="152" t="str">
        <f t="shared" si="0"/>
        <v>C</v>
      </c>
      <c r="G28" s="173" t="s">
        <v>88</v>
      </c>
      <c r="H28" s="173"/>
      <c r="I28" s="173"/>
    </row>
    <row r="29" spans="1:10">
      <c r="D29" s="152" t="s">
        <v>23</v>
      </c>
      <c r="E29" s="152">
        <v>41</v>
      </c>
      <c r="F29" s="152" t="str">
        <f t="shared" si="0"/>
        <v>B</v>
      </c>
      <c r="G29" s="173" t="s">
        <v>89</v>
      </c>
      <c r="H29" s="173"/>
      <c r="I29" s="173"/>
    </row>
    <row r="31" spans="1:10" ht="15.75">
      <c r="A31" s="73" t="s">
        <v>27</v>
      </c>
    </row>
    <row r="32" spans="1:10">
      <c r="A32" s="167" t="s">
        <v>90</v>
      </c>
      <c r="B32" s="167"/>
      <c r="C32" s="167"/>
      <c r="D32" s="167"/>
      <c r="E32" s="167"/>
      <c r="F32" s="167"/>
      <c r="G32" s="167"/>
      <c r="H32" s="167"/>
      <c r="I32" s="167"/>
      <c r="J32" s="167"/>
    </row>
    <row r="33" spans="1:10">
      <c r="A33" s="167"/>
      <c r="B33" s="167"/>
      <c r="C33" s="167"/>
      <c r="D33" s="167"/>
      <c r="E33" s="167"/>
      <c r="F33" s="167"/>
      <c r="G33" s="167"/>
      <c r="H33" s="167"/>
      <c r="I33" s="167"/>
      <c r="J33" s="167"/>
    </row>
    <row r="34" spans="1:10">
      <c r="A34" s="181" t="s">
        <v>76</v>
      </c>
      <c r="B34" s="181"/>
      <c r="D34" s="182" t="s">
        <v>77</v>
      </c>
      <c r="E34" s="183"/>
      <c r="F34" s="183"/>
      <c r="G34" s="184"/>
    </row>
    <row r="35" spans="1:10">
      <c r="A35" s="151" t="s">
        <v>91</v>
      </c>
      <c r="B35" s="151" t="s">
        <v>92</v>
      </c>
      <c r="D35" s="151" t="s">
        <v>29</v>
      </c>
      <c r="E35" s="151" t="s">
        <v>30</v>
      </c>
      <c r="F35" s="151" t="s">
        <v>91</v>
      </c>
      <c r="G35" s="83" t="s">
        <v>49</v>
      </c>
    </row>
    <row r="36" spans="1:10">
      <c r="A36" s="152" t="s">
        <v>81</v>
      </c>
      <c r="B36" s="80">
        <v>1000</v>
      </c>
      <c r="D36" s="152" t="s">
        <v>32</v>
      </c>
      <c r="E36" s="152" t="s">
        <v>33</v>
      </c>
      <c r="F36" s="78" t="s">
        <v>81</v>
      </c>
      <c r="G36" s="79" t="str">
        <f>IF(F36="A",TEXT(1000,"$#,##0"),
   IF(F36="B",TEXT(500,"$#,##0"),
   IF(F36="C",TEXT(250,"$#,##0"),"")))</f>
        <v>$1,000</v>
      </c>
    </row>
    <row r="37" spans="1:10">
      <c r="A37" s="152" t="s">
        <v>84</v>
      </c>
      <c r="B37" s="80">
        <v>500</v>
      </c>
      <c r="D37" s="152" t="s">
        <v>34</v>
      </c>
      <c r="E37" s="152" t="s">
        <v>35</v>
      </c>
      <c r="F37" s="78" t="s">
        <v>81</v>
      </c>
      <c r="G37" s="79" t="str">
        <f t="shared" ref="G37:G39" si="1">IF(F37="A",TEXT(1000,"$#,##0"),
   IF(F37="B",TEXT(500,"$#,##0"),
   IF(F37="C",TEXT(250,"$#,##0"),"")))</f>
        <v>$1,000</v>
      </c>
    </row>
    <row r="38" spans="1:10">
      <c r="A38" s="152" t="s">
        <v>87</v>
      </c>
      <c r="B38" s="80">
        <v>250</v>
      </c>
      <c r="D38" s="152" t="s">
        <v>36</v>
      </c>
      <c r="E38" s="152" t="s">
        <v>35</v>
      </c>
      <c r="F38" s="78" t="s">
        <v>84</v>
      </c>
      <c r="G38" s="79" t="str">
        <f t="shared" si="1"/>
        <v>$500</v>
      </c>
    </row>
    <row r="39" spans="1:10">
      <c r="D39" s="152" t="s">
        <v>37</v>
      </c>
      <c r="E39" s="152" t="s">
        <v>35</v>
      </c>
      <c r="F39" s="78" t="s">
        <v>87</v>
      </c>
      <c r="G39" s="79" t="str">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31" zoomScale="90" zoomScaleNormal="90" workbookViewId="0">
      <selection activeCell="E38" sqref="E38:E41"/>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5" t="s">
        <v>93</v>
      </c>
      <c r="B1" s="76"/>
      <c r="C1" s="76"/>
      <c r="D1" s="76"/>
      <c r="E1" s="76"/>
      <c r="F1" s="76"/>
      <c r="G1" s="76"/>
      <c r="H1" s="76"/>
      <c r="I1" s="76"/>
      <c r="J1" s="76"/>
      <c r="K1" s="76"/>
      <c r="L1" s="76"/>
    </row>
    <row r="2" spans="1:12" ht="15.75" thickTop="1"/>
    <row r="3" spans="1:12" ht="18.75">
      <c r="A3" s="74" t="s">
        <v>1</v>
      </c>
    </row>
    <row r="4" spans="1:12" ht="15" customHeight="1">
      <c r="A4" s="167" t="s">
        <v>94</v>
      </c>
      <c r="B4" s="167"/>
      <c r="C4" s="167"/>
      <c r="D4" s="167"/>
      <c r="E4" s="167"/>
      <c r="F4" s="167"/>
      <c r="G4" s="167"/>
      <c r="H4" s="167"/>
      <c r="I4" s="167"/>
      <c r="J4" s="167"/>
    </row>
    <row r="5" spans="1:12">
      <c r="A5" s="167"/>
      <c r="B5" s="167"/>
      <c r="C5" s="167"/>
      <c r="D5" s="167"/>
      <c r="E5" s="167"/>
      <c r="F5" s="167"/>
      <c r="G5" s="167"/>
      <c r="H5" s="167"/>
      <c r="I5" s="167"/>
      <c r="J5" s="167"/>
    </row>
    <row r="6" spans="1:12">
      <c r="A6" s="167"/>
      <c r="B6" s="167"/>
      <c r="C6" s="167"/>
      <c r="D6" s="167"/>
      <c r="E6" s="167"/>
      <c r="F6" s="167"/>
      <c r="G6" s="167"/>
      <c r="H6" s="167"/>
      <c r="I6" s="167"/>
      <c r="J6" s="167"/>
    </row>
    <row r="7" spans="1:12">
      <c r="A7" s="144"/>
      <c r="B7" s="144"/>
      <c r="C7" s="144"/>
      <c r="D7" s="144"/>
      <c r="E7" s="144"/>
      <c r="F7" s="144"/>
      <c r="G7" s="144"/>
      <c r="H7" s="144"/>
      <c r="I7" s="144"/>
      <c r="J7" s="144"/>
    </row>
    <row r="8" spans="1:12" ht="18.75">
      <c r="A8" s="74" t="s">
        <v>3</v>
      </c>
    </row>
    <row r="9" spans="1:12" ht="15.75">
      <c r="A9" s="77" t="s">
        <v>95</v>
      </c>
    </row>
    <row r="11" spans="1:12" ht="15.75">
      <c r="A11" s="73" t="s">
        <v>41</v>
      </c>
    </row>
    <row r="12" spans="1:12">
      <c r="A12" t="s">
        <v>42</v>
      </c>
    </row>
    <row r="14" spans="1:12" ht="15.75">
      <c r="A14" s="73" t="s">
        <v>43</v>
      </c>
    </row>
    <row r="15" spans="1:12">
      <c r="A15" t="s">
        <v>44</v>
      </c>
    </row>
    <row r="17" spans="1:10" ht="15.75">
      <c r="A17" s="73" t="s">
        <v>45</v>
      </c>
    </row>
    <row r="18" spans="1:10">
      <c r="A18" t="s">
        <v>96</v>
      </c>
    </row>
    <row r="19" spans="1:10">
      <c r="A19" s="151" t="s">
        <v>47</v>
      </c>
      <c r="B19" s="151" t="s">
        <v>48</v>
      </c>
      <c r="C19" s="151" t="s">
        <v>49</v>
      </c>
      <c r="D19" s="169" t="s">
        <v>16</v>
      </c>
      <c r="E19" s="169"/>
    </row>
    <row r="20" spans="1:10">
      <c r="A20" s="82">
        <v>1</v>
      </c>
      <c r="B20" s="82">
        <v>2</v>
      </c>
      <c r="C20" s="152" t="b">
        <f>OR(A20&gt;0,B20&gt;0)</f>
        <v>1</v>
      </c>
      <c r="D20" s="178" t="s">
        <v>97</v>
      </c>
      <c r="E20" s="179"/>
    </row>
    <row r="21" spans="1:10">
      <c r="A21" s="82">
        <v>1</v>
      </c>
      <c r="B21" s="82">
        <v>-2</v>
      </c>
      <c r="C21" s="152" t="b">
        <f>OR(A21&gt;0,B21&gt;0)</f>
        <v>1</v>
      </c>
      <c r="D21" s="178" t="s">
        <v>98</v>
      </c>
      <c r="E21" s="179"/>
    </row>
    <row r="22" spans="1:10">
      <c r="A22" s="82">
        <v>-1</v>
      </c>
      <c r="B22" s="82">
        <v>-2</v>
      </c>
      <c r="C22" s="152" t="b">
        <f>OR(A22&gt;0,B22&gt;0)</f>
        <v>0</v>
      </c>
      <c r="D22" s="178" t="s">
        <v>99</v>
      </c>
      <c r="E22" s="179"/>
    </row>
    <row r="23" spans="1:10" ht="15.75">
      <c r="A23" s="73"/>
    </row>
    <row r="24" spans="1:10" ht="15.75">
      <c r="A24" s="73" t="s">
        <v>52</v>
      </c>
    </row>
    <row r="25" spans="1:10">
      <c r="A25" s="167" t="s">
        <v>100</v>
      </c>
      <c r="B25" s="167"/>
      <c r="C25" s="167"/>
      <c r="D25" s="167"/>
      <c r="E25" s="167"/>
      <c r="F25" s="167"/>
      <c r="G25" s="167"/>
      <c r="H25" s="167"/>
      <c r="I25" s="167"/>
      <c r="J25" s="167"/>
    </row>
    <row r="26" spans="1:10">
      <c r="A26" s="167"/>
      <c r="B26" s="167"/>
      <c r="C26" s="167"/>
      <c r="D26" s="167"/>
      <c r="E26" s="167"/>
      <c r="F26" s="167"/>
      <c r="G26" s="167"/>
      <c r="H26" s="167"/>
      <c r="I26" s="167"/>
      <c r="J26" s="167"/>
    </row>
    <row r="27" spans="1:10">
      <c r="A27" s="151" t="s">
        <v>13</v>
      </c>
      <c r="B27" s="151" t="s">
        <v>54</v>
      </c>
      <c r="C27" s="146" t="s">
        <v>55</v>
      </c>
      <c r="D27" s="146" t="s">
        <v>56</v>
      </c>
      <c r="E27" s="169" t="s">
        <v>16</v>
      </c>
      <c r="F27" s="169"/>
      <c r="G27" s="169"/>
      <c r="H27" s="169"/>
      <c r="I27" s="169"/>
    </row>
    <row r="28" spans="1:10">
      <c r="A28" s="152" t="s">
        <v>17</v>
      </c>
      <c r="B28" s="152" t="s">
        <v>57</v>
      </c>
      <c r="C28" s="147" t="s">
        <v>57</v>
      </c>
      <c r="D28" s="152" t="str">
        <f>IF(OR(B28="FAIL",C28="FAIL"),"FAIL","PASS")</f>
        <v>PASS</v>
      </c>
      <c r="E28" s="177" t="s">
        <v>101</v>
      </c>
      <c r="F28" s="177"/>
      <c r="G28" s="177"/>
      <c r="H28" s="177"/>
      <c r="I28" s="177"/>
    </row>
    <row r="29" spans="1:10">
      <c r="A29" s="152" t="s">
        <v>19</v>
      </c>
      <c r="B29" s="152" t="s">
        <v>57</v>
      </c>
      <c r="C29" s="147" t="s">
        <v>59</v>
      </c>
      <c r="D29" s="152" t="str">
        <f t="shared" ref="D29:D31" si="0">IF(OR(B29="FAIL",C29="FAIL"),"FAIL","PASS")</f>
        <v>FAIL</v>
      </c>
      <c r="E29" s="177" t="s">
        <v>102</v>
      </c>
      <c r="F29" s="177"/>
      <c r="G29" s="177"/>
      <c r="H29" s="177"/>
      <c r="I29" s="177"/>
    </row>
    <row r="30" spans="1:10">
      <c r="A30" s="152" t="s">
        <v>21</v>
      </c>
      <c r="B30" s="152" t="s">
        <v>59</v>
      </c>
      <c r="C30" s="147" t="s">
        <v>57</v>
      </c>
      <c r="D30" s="152" t="str">
        <f t="shared" si="0"/>
        <v>FAIL</v>
      </c>
      <c r="E30" s="177" t="s">
        <v>103</v>
      </c>
      <c r="F30" s="177"/>
      <c r="G30" s="177"/>
      <c r="H30" s="177"/>
      <c r="I30" s="177"/>
    </row>
    <row r="31" spans="1:10">
      <c r="A31" s="152" t="s">
        <v>23</v>
      </c>
      <c r="B31" s="152" t="s">
        <v>57</v>
      </c>
      <c r="C31" s="147" t="s">
        <v>57</v>
      </c>
      <c r="D31" s="152" t="str">
        <f t="shared" si="0"/>
        <v>PASS</v>
      </c>
      <c r="E31" s="177" t="s">
        <v>104</v>
      </c>
      <c r="F31" s="177"/>
      <c r="G31" s="177"/>
      <c r="H31" s="177"/>
      <c r="I31" s="177"/>
    </row>
    <row r="34" spans="1:10" ht="15.75">
      <c r="A34" s="73" t="s">
        <v>27</v>
      </c>
    </row>
    <row r="35" spans="1:10" ht="15" customHeight="1">
      <c r="A35" s="167" t="s">
        <v>105</v>
      </c>
      <c r="B35" s="167"/>
      <c r="C35" s="167"/>
      <c r="D35" s="167"/>
      <c r="E35" s="167"/>
      <c r="F35" s="167"/>
      <c r="G35" s="167"/>
      <c r="H35" s="167"/>
      <c r="I35" s="167"/>
      <c r="J35" s="167"/>
    </row>
    <row r="36" spans="1:10">
      <c r="A36" s="167"/>
      <c r="B36" s="167"/>
      <c r="C36" s="167"/>
      <c r="D36" s="167"/>
      <c r="E36" s="167"/>
      <c r="F36" s="167"/>
      <c r="G36" s="167"/>
      <c r="H36" s="167"/>
      <c r="I36" s="167"/>
      <c r="J36" s="167"/>
    </row>
    <row r="37" spans="1:10" ht="37.5" customHeight="1">
      <c r="A37" s="159" t="s">
        <v>29</v>
      </c>
      <c r="B37" s="159" t="s">
        <v>30</v>
      </c>
      <c r="C37" s="159" t="s">
        <v>64</v>
      </c>
      <c r="D37" s="150" t="s">
        <v>65</v>
      </c>
      <c r="E37" s="166" t="s">
        <v>66</v>
      </c>
    </row>
    <row r="38" spans="1:10">
      <c r="A38" s="152" t="s">
        <v>32</v>
      </c>
      <c r="B38" s="152" t="s">
        <v>33</v>
      </c>
      <c r="C38" s="81">
        <v>51</v>
      </c>
      <c r="D38" s="81" t="s">
        <v>67</v>
      </c>
      <c r="E38" s="79" t="str">
        <f>IF(OR(C38&gt;50,D38="YES"),"YES","NO")</f>
        <v>YES</v>
      </c>
    </row>
    <row r="39" spans="1:10">
      <c r="A39" s="152" t="s">
        <v>34</v>
      </c>
      <c r="B39" s="152" t="s">
        <v>35</v>
      </c>
      <c r="C39" s="81">
        <v>49</v>
      </c>
      <c r="D39" s="81" t="s">
        <v>68</v>
      </c>
      <c r="E39" s="79" t="str">
        <f t="shared" ref="E39:E41" si="1">IF(OR(C39&gt;50,D39="YES"),"YES","NO")</f>
        <v>NO</v>
      </c>
    </row>
    <row r="40" spans="1:10">
      <c r="A40" s="152" t="s">
        <v>36</v>
      </c>
      <c r="B40" s="152" t="s">
        <v>35</v>
      </c>
      <c r="C40" s="81">
        <v>49</v>
      </c>
      <c r="D40" s="81" t="s">
        <v>67</v>
      </c>
      <c r="E40" s="79" t="str">
        <f t="shared" si="1"/>
        <v>YES</v>
      </c>
    </row>
    <row r="41" spans="1:10">
      <c r="A41" s="152" t="s">
        <v>37</v>
      </c>
      <c r="B41" s="152" t="s">
        <v>35</v>
      </c>
      <c r="C41" s="81">
        <v>75</v>
      </c>
      <c r="D41" s="81" t="s">
        <v>67</v>
      </c>
      <c r="E41" s="79" t="str">
        <f t="shared" si="1"/>
        <v>YES</v>
      </c>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31" zoomScale="90" zoomScaleNormal="90" workbookViewId="0">
      <selection activeCell="D39" sqref="D39:D42"/>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85" t="s">
        <v>106</v>
      </c>
      <c r="B1" s="185"/>
      <c r="C1" s="76"/>
      <c r="D1" s="76"/>
      <c r="E1" s="76"/>
      <c r="F1" s="76"/>
      <c r="G1" s="76"/>
      <c r="H1" s="76"/>
      <c r="I1" s="76"/>
      <c r="J1" s="76"/>
      <c r="K1" s="76"/>
      <c r="L1" s="76"/>
    </row>
    <row r="2" spans="1:12" ht="15.75" thickTop="1"/>
    <row r="3" spans="1:12" ht="18.75">
      <c r="A3" s="74" t="s">
        <v>1</v>
      </c>
    </row>
    <row r="4" spans="1:12">
      <c r="A4" s="167" t="s">
        <v>107</v>
      </c>
      <c r="B4" s="167"/>
      <c r="C4" s="167"/>
      <c r="D4" s="167"/>
      <c r="E4" s="167"/>
      <c r="F4" s="167"/>
      <c r="G4" s="167"/>
      <c r="H4" s="167"/>
      <c r="I4" s="167"/>
      <c r="J4" s="167"/>
    </row>
    <row r="5" spans="1:12">
      <c r="A5" s="167"/>
      <c r="B5" s="167"/>
      <c r="C5" s="167"/>
      <c r="D5" s="167"/>
      <c r="E5" s="167"/>
      <c r="F5" s="167"/>
      <c r="G5" s="167"/>
      <c r="H5" s="167"/>
      <c r="I5" s="167"/>
      <c r="J5" s="167"/>
    </row>
    <row r="6" spans="1:12">
      <c r="A6" s="144"/>
      <c r="B6" s="144"/>
      <c r="C6" s="144"/>
      <c r="D6" s="144"/>
      <c r="E6" s="144"/>
      <c r="F6" s="144"/>
      <c r="G6" s="144"/>
      <c r="H6" s="144"/>
      <c r="I6" s="144"/>
      <c r="J6" s="144"/>
    </row>
    <row r="7" spans="1:12" ht="18.75">
      <c r="A7" s="74" t="s">
        <v>3</v>
      </c>
    </row>
    <row r="8" spans="1:12" ht="15.75">
      <c r="A8" s="77" t="s">
        <v>108</v>
      </c>
    </row>
    <row r="10" spans="1:12" ht="15.75">
      <c r="A10" s="73" t="s">
        <v>41</v>
      </c>
    </row>
    <row r="11" spans="1:12">
      <c r="A11" t="s">
        <v>109</v>
      </c>
    </row>
    <row r="13" spans="1:12" ht="15.75">
      <c r="A13" s="73" t="s">
        <v>110</v>
      </c>
    </row>
    <row r="14" spans="1:12">
      <c r="A14" t="s">
        <v>111</v>
      </c>
    </row>
    <row r="16" spans="1:12" ht="15.75">
      <c r="A16" s="73" t="s">
        <v>45</v>
      </c>
    </row>
    <row r="17" spans="1:13">
      <c r="A17" t="s">
        <v>112</v>
      </c>
    </row>
    <row r="18" spans="1:13">
      <c r="A18" s="151" t="s">
        <v>113</v>
      </c>
      <c r="B18" s="151" t="s">
        <v>114</v>
      </c>
      <c r="C18" s="186" t="s">
        <v>115</v>
      </c>
      <c r="D18" s="186"/>
      <c r="E18" s="191" t="s">
        <v>116</v>
      </c>
      <c r="F18" s="192"/>
      <c r="G18" s="192"/>
      <c r="H18" s="193"/>
    </row>
    <row r="19" spans="1:13">
      <c r="A19" s="82">
        <v>1</v>
      </c>
      <c r="B19" s="82">
        <v>2</v>
      </c>
      <c r="C19" s="157">
        <f>A19/B19</f>
        <v>0.5</v>
      </c>
      <c r="D19" s="152" t="s">
        <v>117</v>
      </c>
      <c r="E19" s="152">
        <f>IFERROR(A19/B19,999)</f>
        <v>0.5</v>
      </c>
      <c r="F19" s="187" t="s">
        <v>118</v>
      </c>
      <c r="G19" s="188"/>
      <c r="H19" s="189"/>
    </row>
    <row r="20" spans="1:13">
      <c r="A20" s="82">
        <v>1</v>
      </c>
      <c r="B20" s="82">
        <v>0</v>
      </c>
      <c r="C20" s="85" t="e">
        <f>A20/B20</f>
        <v>#DIV/0!</v>
      </c>
      <c r="D20" s="152" t="s">
        <v>119</v>
      </c>
      <c r="E20" s="84">
        <f>IFERROR(A20/B20,999)</f>
        <v>999</v>
      </c>
      <c r="F20" s="190" t="s">
        <v>120</v>
      </c>
      <c r="G20" s="190"/>
      <c r="H20" s="190"/>
    </row>
    <row r="21" spans="1:13" ht="15.75">
      <c r="A21" s="73"/>
    </row>
    <row r="22" spans="1:13" ht="15.75">
      <c r="A22" s="73" t="s">
        <v>25</v>
      </c>
    </row>
    <row r="23" spans="1:13">
      <c r="A23" s="167" t="s">
        <v>121</v>
      </c>
      <c r="B23" s="167"/>
      <c r="C23" s="167"/>
      <c r="D23" s="167"/>
      <c r="E23" s="167"/>
      <c r="F23" s="167"/>
      <c r="G23" s="167"/>
      <c r="H23" s="167"/>
      <c r="I23" s="167"/>
      <c r="J23" s="167"/>
    </row>
    <row r="24" spans="1:13" ht="15.75" customHeight="1">
      <c r="A24" s="167"/>
      <c r="B24" s="167"/>
      <c r="C24" s="167"/>
      <c r="D24" s="167"/>
      <c r="E24" s="167"/>
      <c r="F24" s="167"/>
      <c r="G24" s="167"/>
      <c r="H24" s="167"/>
      <c r="I24" s="167"/>
      <c r="J24" s="167"/>
    </row>
    <row r="25" spans="1:13" ht="15.75">
      <c r="A25" s="73"/>
    </row>
    <row r="26" spans="1:13" ht="15.75">
      <c r="A26" s="73" t="s">
        <v>52</v>
      </c>
    </row>
    <row r="27" spans="1:13">
      <c r="A27" t="s">
        <v>112</v>
      </c>
    </row>
    <row r="28" spans="1:13">
      <c r="A28" s="151" t="s">
        <v>113</v>
      </c>
      <c r="B28" s="151" t="s">
        <v>114</v>
      </c>
      <c r="C28" s="186" t="s">
        <v>115</v>
      </c>
      <c r="D28" s="186"/>
      <c r="E28" s="186" t="s">
        <v>116</v>
      </c>
      <c r="F28" s="186"/>
      <c r="G28" s="186"/>
      <c r="H28" s="186"/>
      <c r="I28" s="186"/>
    </row>
    <row r="29" spans="1:13">
      <c r="A29" s="82">
        <v>1</v>
      </c>
      <c r="B29" s="82">
        <v>2</v>
      </c>
      <c r="C29" s="157">
        <f>A29*B29</f>
        <v>2</v>
      </c>
      <c r="D29" s="152" t="s">
        <v>122</v>
      </c>
      <c r="E29" s="152">
        <f>IFERROR(A29*B29,"DATA IS WRONG")</f>
        <v>2</v>
      </c>
      <c r="F29" s="194" t="s">
        <v>123</v>
      </c>
      <c r="G29" s="194"/>
      <c r="H29" s="194"/>
      <c r="I29" s="194"/>
    </row>
    <row r="30" spans="1:13">
      <c r="A30" s="82">
        <v>1</v>
      </c>
      <c r="B30" s="82">
        <v>1</v>
      </c>
      <c r="C30" s="157">
        <f t="shared" ref="C30:C32" si="0">A30*B30</f>
        <v>1</v>
      </c>
      <c r="D30" s="152" t="s">
        <v>124</v>
      </c>
      <c r="E30" s="152">
        <f t="shared" ref="E30:E32" si="1">IFERROR(A30*B30,"DATA IS WRONG")</f>
        <v>1</v>
      </c>
      <c r="F30" s="194" t="s">
        <v>125</v>
      </c>
      <c r="G30" s="194"/>
      <c r="H30" s="194"/>
      <c r="I30" s="194"/>
    </row>
    <row r="31" spans="1:13">
      <c r="A31" s="82">
        <v>1</v>
      </c>
      <c r="B31" s="82" t="s">
        <v>126</v>
      </c>
      <c r="C31" s="85" t="e">
        <f t="shared" si="0"/>
        <v>#VALUE!</v>
      </c>
      <c r="D31" s="152" t="s">
        <v>127</v>
      </c>
      <c r="E31" s="84" t="str">
        <f t="shared" si="1"/>
        <v>DATA IS WRONG</v>
      </c>
      <c r="F31" s="194" t="s">
        <v>128</v>
      </c>
      <c r="G31" s="194"/>
      <c r="H31" s="194"/>
      <c r="I31" s="194"/>
    </row>
    <row r="32" spans="1:13">
      <c r="A32" s="82">
        <v>5</v>
      </c>
      <c r="B32" s="82" t="s">
        <v>126</v>
      </c>
      <c r="C32" s="85" t="e">
        <f t="shared" si="0"/>
        <v>#VALUE!</v>
      </c>
      <c r="D32" s="152" t="s">
        <v>129</v>
      </c>
      <c r="E32" s="84" t="s">
        <v>130</v>
      </c>
      <c r="F32" s="194" t="s">
        <v>131</v>
      </c>
      <c r="G32" s="194"/>
      <c r="H32" s="194"/>
      <c r="I32" s="194"/>
      <c r="K32" s="181" t="s">
        <v>132</v>
      </c>
      <c r="L32" s="181"/>
      <c r="M32" s="181"/>
    </row>
    <row r="33" spans="1:13" ht="15.75">
      <c r="A33" s="73"/>
      <c r="K33" s="181"/>
      <c r="L33" s="181"/>
      <c r="M33" s="181"/>
    </row>
    <row r="34" spans="1:13" ht="15.75">
      <c r="A34" s="73"/>
      <c r="K34" s="181"/>
      <c r="L34" s="181"/>
      <c r="M34" s="181"/>
    </row>
    <row r="35" spans="1:13" ht="15.75">
      <c r="A35" s="73" t="s">
        <v>27</v>
      </c>
    </row>
    <row r="36" spans="1:13" ht="15" customHeight="1">
      <c r="A36" s="167" t="s">
        <v>133</v>
      </c>
      <c r="B36" s="167"/>
      <c r="C36" s="167"/>
      <c r="D36" s="167"/>
      <c r="E36" s="167"/>
      <c r="F36" s="167"/>
      <c r="G36" s="167"/>
      <c r="H36" s="167"/>
      <c r="I36" s="167"/>
      <c r="J36" s="167"/>
    </row>
    <row r="37" spans="1:13">
      <c r="A37" s="167"/>
      <c r="B37" s="167"/>
      <c r="C37" s="167"/>
      <c r="D37" s="167"/>
      <c r="E37" s="167"/>
      <c r="F37" s="167"/>
      <c r="G37" s="167"/>
      <c r="H37" s="167"/>
      <c r="I37" s="167"/>
      <c r="J37" s="167"/>
    </row>
    <row r="38" spans="1:13" ht="37.5" customHeight="1">
      <c r="A38" s="159" t="s">
        <v>29</v>
      </c>
      <c r="B38" s="159" t="s">
        <v>30</v>
      </c>
      <c r="C38" s="150" t="s">
        <v>134</v>
      </c>
      <c r="D38" s="150" t="s">
        <v>135</v>
      </c>
    </row>
    <row r="39" spans="1:13">
      <c r="A39" s="152" t="s">
        <v>32</v>
      </c>
      <c r="B39" s="152" t="s">
        <v>33</v>
      </c>
      <c r="C39" s="86">
        <v>80000</v>
      </c>
      <c r="D39" s="81" t="str">
        <f>IFERROR(TEXT(C39/12,"£#,##0"),"ERROR IN SALARY")</f>
        <v>£6,667</v>
      </c>
    </row>
    <row r="40" spans="1:13">
      <c r="A40" s="152" t="s">
        <v>34</v>
      </c>
      <c r="B40" s="152" t="s">
        <v>35</v>
      </c>
      <c r="C40" s="86">
        <v>50000</v>
      </c>
      <c r="D40" s="81" t="str">
        <f t="shared" ref="D40:D42" si="2">IFERROR(TEXT(C40/12,"£#,##0"),"ERROR IN SALARY")</f>
        <v>£4,167</v>
      </c>
    </row>
    <row r="41" spans="1:13">
      <c r="A41" s="152" t="s">
        <v>36</v>
      </c>
      <c r="B41" s="152" t="s">
        <v>35</v>
      </c>
      <c r="C41" s="81" t="s">
        <v>136</v>
      </c>
      <c r="D41" s="81" t="str">
        <f t="shared" si="2"/>
        <v>ERROR IN SALARY</v>
      </c>
    </row>
    <row r="42" spans="1:13">
      <c r="A42" s="152" t="s">
        <v>37</v>
      </c>
      <c r="B42" s="152" t="s">
        <v>35</v>
      </c>
      <c r="C42" s="86">
        <v>40000</v>
      </c>
      <c r="D42" s="81" t="str">
        <f t="shared" si="2"/>
        <v>£3,333</v>
      </c>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topLeftCell="K28" zoomScale="90" zoomScaleNormal="90" workbookViewId="0">
      <selection activeCell="E28" sqref="E28"/>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85" t="s">
        <v>137</v>
      </c>
      <c r="B1" s="185"/>
      <c r="C1" s="76"/>
      <c r="D1" s="76"/>
      <c r="E1" s="76"/>
      <c r="F1" s="76"/>
      <c r="G1" s="76"/>
      <c r="H1" s="76"/>
      <c r="I1" s="76"/>
      <c r="J1" s="76"/>
      <c r="K1" s="76"/>
      <c r="L1" s="76"/>
    </row>
    <row r="2" spans="1:12" ht="15.75" thickTop="1"/>
    <row r="3" spans="1:12" ht="18.75">
      <c r="A3" s="74" t="s">
        <v>1</v>
      </c>
    </row>
    <row r="4" spans="1:12">
      <c r="A4" s="167" t="s">
        <v>138</v>
      </c>
      <c r="B4" s="167"/>
      <c r="C4" s="167"/>
      <c r="D4" s="167"/>
      <c r="E4" s="167"/>
      <c r="F4" s="167"/>
      <c r="G4" s="167"/>
      <c r="H4" s="167"/>
      <c r="I4" s="167"/>
      <c r="J4" s="167"/>
    </row>
    <row r="5" spans="1:12">
      <c r="A5" s="167"/>
      <c r="B5" s="167"/>
      <c r="C5" s="167"/>
      <c r="D5" s="167"/>
      <c r="E5" s="167"/>
      <c r="F5" s="167"/>
      <c r="G5" s="167"/>
      <c r="H5" s="167"/>
      <c r="I5" s="167"/>
      <c r="J5" s="167"/>
    </row>
    <row r="6" spans="1:12">
      <c r="A6" s="144"/>
      <c r="B6" s="144"/>
      <c r="C6" s="144"/>
      <c r="D6" s="144"/>
      <c r="E6" s="144"/>
      <c r="F6" s="144"/>
      <c r="G6" s="144"/>
      <c r="H6" s="144"/>
      <c r="I6" s="144"/>
      <c r="J6" s="144"/>
    </row>
    <row r="7" spans="1:12" ht="18.75">
      <c r="A7" s="74" t="s">
        <v>3</v>
      </c>
    </row>
    <row r="8" spans="1:12" ht="15.75">
      <c r="A8" s="77" t="s">
        <v>139</v>
      </c>
    </row>
    <row r="10" spans="1:12" ht="15.75">
      <c r="A10" s="73" t="s">
        <v>41</v>
      </c>
    </row>
    <row r="11" spans="1:12">
      <c r="A11" t="s">
        <v>109</v>
      </c>
    </row>
    <row r="13" spans="1:12" ht="15.75">
      <c r="A13" s="73" t="s">
        <v>110</v>
      </c>
    </row>
    <row r="14" spans="1:12">
      <c r="A14" t="s">
        <v>140</v>
      </c>
    </row>
    <row r="16" spans="1:12" ht="15.75">
      <c r="A16" s="73" t="s">
        <v>45</v>
      </c>
    </row>
    <row r="17" spans="1:10">
      <c r="A17" t="s">
        <v>112</v>
      </c>
    </row>
    <row r="18" spans="1:10">
      <c r="A18" s="151" t="s">
        <v>113</v>
      </c>
      <c r="B18" s="186" t="s">
        <v>116</v>
      </c>
      <c r="C18" s="186"/>
      <c r="D18" s="186"/>
    </row>
    <row r="19" spans="1:10" ht="15" customHeight="1">
      <c r="A19" s="82">
        <v>1</v>
      </c>
      <c r="B19" s="152">
        <f>_xlfn.IFNA(A19,9999)</f>
        <v>1</v>
      </c>
      <c r="C19" s="194" t="s">
        <v>141</v>
      </c>
      <c r="D19" s="194"/>
      <c r="F19" s="181" t="s">
        <v>142</v>
      </c>
      <c r="G19" s="181"/>
      <c r="H19" s="181"/>
    </row>
    <row r="20" spans="1:10">
      <c r="A20" s="87" t="e">
        <v>#N/A</v>
      </c>
      <c r="B20" s="84">
        <f>_xlfn.IFNA(A20,9999)</f>
        <v>9999</v>
      </c>
      <c r="C20" s="194" t="s">
        <v>143</v>
      </c>
      <c r="D20" s="194"/>
      <c r="F20" s="181"/>
      <c r="G20" s="181"/>
      <c r="H20" s="181"/>
    </row>
    <row r="21" spans="1:10" ht="15.75">
      <c r="A21" s="73"/>
      <c r="F21" s="181"/>
      <c r="G21" s="181"/>
      <c r="H21" s="181"/>
    </row>
    <row r="22" spans="1:10" ht="15.75">
      <c r="A22" s="73"/>
    </row>
    <row r="23" spans="1:10" ht="15.75">
      <c r="A23" s="73" t="s">
        <v>27</v>
      </c>
    </row>
    <row r="24" spans="1:10" ht="15" customHeight="1">
      <c r="A24" s="167" t="s">
        <v>144</v>
      </c>
      <c r="B24" s="167"/>
      <c r="C24" s="167"/>
      <c r="D24" s="167"/>
      <c r="E24" s="167"/>
      <c r="F24" s="167"/>
      <c r="G24" s="167"/>
      <c r="H24" s="167"/>
      <c r="I24" s="167"/>
      <c r="J24" s="167"/>
    </row>
    <row r="25" spans="1:10">
      <c r="A25" s="167"/>
      <c r="B25" s="167"/>
      <c r="C25" s="167"/>
      <c r="D25" s="167"/>
      <c r="E25" s="167"/>
      <c r="F25" s="167"/>
      <c r="G25" s="167"/>
      <c r="H25" s="167"/>
      <c r="I25" s="167"/>
      <c r="J25" s="167"/>
    </row>
    <row r="26" spans="1:10" ht="37.5" customHeight="1">
      <c r="A26" s="159" t="s">
        <v>29</v>
      </c>
      <c r="B26" s="159" t="s">
        <v>30</v>
      </c>
      <c r="C26" s="150" t="s">
        <v>134</v>
      </c>
      <c r="D26" s="150" t="s">
        <v>135</v>
      </c>
    </row>
    <row r="27" spans="1:10">
      <c r="A27" s="152" t="s">
        <v>32</v>
      </c>
      <c r="B27" s="152" t="s">
        <v>33</v>
      </c>
      <c r="C27" s="86">
        <v>80000</v>
      </c>
      <c r="D27" s="81">
        <f>_xlfn.IFNA(C27/12,"ERROR IN SALARY")</f>
        <v>6666.666666666667</v>
      </c>
    </row>
    <row r="28" spans="1:10">
      <c r="A28" s="152" t="s">
        <v>34</v>
      </c>
      <c r="B28" s="152" t="s">
        <v>35</v>
      </c>
      <c r="C28" s="86">
        <v>50000</v>
      </c>
      <c r="D28" s="81">
        <f t="shared" ref="D28:D30" si="0">_xlfn.IFNA(C28/12,"ERROR IN SALARY")</f>
        <v>4166.666666666667</v>
      </c>
    </row>
    <row r="29" spans="1:10">
      <c r="A29" s="152" t="s">
        <v>36</v>
      </c>
      <c r="B29" s="152" t="s">
        <v>35</v>
      </c>
      <c r="C29" s="81" t="e">
        <v>#N/A</v>
      </c>
      <c r="D29" s="81" t="str">
        <f t="shared" si="0"/>
        <v>ERROR IN SALARY</v>
      </c>
    </row>
    <row r="30" spans="1:10">
      <c r="A30" s="152" t="s">
        <v>37</v>
      </c>
      <c r="B30" s="152" t="s">
        <v>35</v>
      </c>
      <c r="C30" s="86">
        <v>40000</v>
      </c>
      <c r="D30" s="81">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topLeftCell="A18" zoomScale="90" zoomScaleNormal="90" workbookViewId="0">
      <selection activeCell="C30" sqref="C30"/>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80" t="s">
        <v>145</v>
      </c>
      <c r="B1" s="180"/>
      <c r="C1" s="76"/>
      <c r="D1" s="76"/>
      <c r="E1" s="76"/>
      <c r="F1" s="76"/>
      <c r="G1" s="76"/>
      <c r="H1" s="76"/>
      <c r="I1" s="76"/>
      <c r="J1" s="76"/>
      <c r="K1" s="76"/>
      <c r="L1" s="76"/>
    </row>
    <row r="2" spans="1:12" ht="15.75" thickTop="1"/>
    <row r="3" spans="1:12" ht="18.75">
      <c r="A3" s="74" t="s">
        <v>1</v>
      </c>
    </row>
    <row r="4" spans="1:12">
      <c r="A4" s="167" t="s">
        <v>146</v>
      </c>
      <c r="B4" s="167"/>
      <c r="C4" s="167"/>
      <c r="D4" s="167"/>
      <c r="E4" s="167"/>
      <c r="F4" s="167"/>
      <c r="G4" s="167"/>
      <c r="H4" s="167"/>
      <c r="I4" s="167"/>
      <c r="J4" s="167"/>
    </row>
    <row r="5" spans="1:12">
      <c r="A5" s="167"/>
      <c r="B5" s="167"/>
      <c r="C5" s="167"/>
      <c r="D5" s="167"/>
      <c r="E5" s="167"/>
      <c r="F5" s="167"/>
      <c r="G5" s="167"/>
      <c r="H5" s="167"/>
      <c r="I5" s="167"/>
      <c r="J5" s="167"/>
    </row>
    <row r="6" spans="1:12">
      <c r="A6" s="144"/>
      <c r="B6" s="144"/>
      <c r="C6" s="144"/>
      <c r="D6" s="144"/>
      <c r="E6" s="144"/>
      <c r="F6" s="144"/>
      <c r="G6" s="144"/>
      <c r="H6" s="144"/>
      <c r="I6" s="144"/>
      <c r="J6" s="144"/>
    </row>
    <row r="7" spans="1:12" ht="18.75">
      <c r="A7" s="74" t="s">
        <v>3</v>
      </c>
    </row>
    <row r="8" spans="1:12" ht="15.75">
      <c r="A8" s="77" t="s">
        <v>147</v>
      </c>
    </row>
    <row r="10" spans="1:12" ht="15.75">
      <c r="A10" s="73" t="s">
        <v>148</v>
      </c>
    </row>
    <row r="11" spans="1:12">
      <c r="A11" t="s">
        <v>149</v>
      </c>
    </row>
    <row r="13" spans="1:12" ht="15.75">
      <c r="A13" s="73" t="s">
        <v>150</v>
      </c>
    </row>
    <row r="14" spans="1:12">
      <c r="A14" t="s">
        <v>151</v>
      </c>
    </row>
    <row r="16" spans="1:12" ht="15.75">
      <c r="A16" s="73" t="s">
        <v>45</v>
      </c>
    </row>
    <row r="17" spans="1:10">
      <c r="A17" t="s">
        <v>46</v>
      </c>
    </row>
    <row r="18" spans="1:10">
      <c r="A18" s="151" t="s">
        <v>113</v>
      </c>
      <c r="B18" s="151" t="s">
        <v>114</v>
      </c>
      <c r="C18" s="151" t="s">
        <v>49</v>
      </c>
      <c r="D18" s="169" t="s">
        <v>16</v>
      </c>
      <c r="E18" s="169"/>
    </row>
    <row r="19" spans="1:10">
      <c r="A19" s="82" t="s">
        <v>152</v>
      </c>
      <c r="B19" s="82" t="s">
        <v>152</v>
      </c>
      <c r="C19" s="152" t="b">
        <f>EXACT(A19,B19)</f>
        <v>1</v>
      </c>
      <c r="D19" s="178" t="s">
        <v>153</v>
      </c>
      <c r="E19" s="179"/>
    </row>
    <row r="20" spans="1:10">
      <c r="A20" s="82" t="s">
        <v>152</v>
      </c>
      <c r="B20" s="82" t="s">
        <v>154</v>
      </c>
      <c r="C20" s="152" t="b">
        <f>EXACT(A20,B20)</f>
        <v>0</v>
      </c>
      <c r="D20" s="178" t="s">
        <v>155</v>
      </c>
      <c r="E20" s="179"/>
    </row>
    <row r="21" spans="1:10" ht="15.75">
      <c r="A21" s="73"/>
    </row>
    <row r="22" spans="1:10" ht="15.75">
      <c r="A22" s="73" t="s">
        <v>25</v>
      </c>
    </row>
    <row r="23" spans="1:10">
      <c r="A23" s="167" t="s">
        <v>156</v>
      </c>
      <c r="B23" s="167"/>
      <c r="C23" s="167"/>
      <c r="D23" s="167"/>
      <c r="E23" s="167"/>
      <c r="F23" s="167"/>
      <c r="G23" s="167"/>
      <c r="H23" s="167"/>
      <c r="I23" s="167"/>
      <c r="J23" s="167"/>
    </row>
    <row r="24" spans="1:10" ht="15.75" customHeight="1">
      <c r="A24" s="167"/>
      <c r="B24" s="167"/>
      <c r="C24" s="167"/>
      <c r="D24" s="167"/>
      <c r="E24" s="167"/>
      <c r="F24" s="167"/>
      <c r="G24" s="167"/>
      <c r="H24" s="167"/>
      <c r="I24" s="167"/>
      <c r="J24" s="167"/>
    </row>
    <row r="25" spans="1:10" ht="15.75">
      <c r="A25" s="73"/>
    </row>
    <row r="26" spans="1:10" ht="15.75">
      <c r="A26" s="73" t="s">
        <v>27</v>
      </c>
    </row>
    <row r="27" spans="1:10" ht="15" customHeight="1">
      <c r="A27" s="167" t="s">
        <v>157</v>
      </c>
      <c r="B27" s="167"/>
      <c r="C27" s="167"/>
      <c r="D27" s="167"/>
      <c r="E27" s="167"/>
      <c r="F27" s="167"/>
      <c r="G27" s="167"/>
      <c r="H27" s="167"/>
      <c r="I27" s="167"/>
      <c r="J27" s="167"/>
    </row>
    <row r="28" spans="1:10">
      <c r="A28" s="159" t="s">
        <v>113</v>
      </c>
      <c r="B28" s="159" t="s">
        <v>114</v>
      </c>
      <c r="C28" s="159" t="s">
        <v>158</v>
      </c>
    </row>
    <row r="29" spans="1:10">
      <c r="A29" s="152" t="s">
        <v>159</v>
      </c>
      <c r="B29" s="152" t="s">
        <v>160</v>
      </c>
      <c r="C29" s="81" t="b">
        <f>EXACT(A29,B29)</f>
        <v>0</v>
      </c>
    </row>
    <row r="30" spans="1:10">
      <c r="A30" s="152" t="s">
        <v>159</v>
      </c>
      <c r="B30" s="152" t="s">
        <v>159</v>
      </c>
      <c r="C30" s="81" t="b">
        <f t="shared" ref="C30:C32" si="0">EXACT(A30,B30)</f>
        <v>1</v>
      </c>
    </row>
    <row r="31" spans="1:10">
      <c r="A31" s="152">
        <v>1234</v>
      </c>
      <c r="B31" s="152">
        <v>1234</v>
      </c>
      <c r="C31" s="81" t="b">
        <f t="shared" si="0"/>
        <v>1</v>
      </c>
    </row>
    <row r="32" spans="1:10">
      <c r="A32" s="152">
        <v>1.1000000000000001</v>
      </c>
      <c r="B32" s="152">
        <v>1.101</v>
      </c>
      <c r="C32" s="81"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36" zoomScale="90" zoomScaleNormal="90" workbookViewId="0">
      <selection activeCell="C38" sqref="C38"/>
    </sheetView>
  </sheetViews>
  <sheetFormatPr defaultRowHeight="15"/>
  <cols>
    <col min="1" max="1" width="12.140625" customWidth="1"/>
    <col min="2" max="2" width="16"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80" t="s">
        <v>161</v>
      </c>
      <c r="B1" s="180"/>
      <c r="C1" s="76"/>
      <c r="D1" s="76"/>
      <c r="E1" s="76"/>
      <c r="F1" s="76"/>
      <c r="G1" s="76"/>
      <c r="H1" s="76"/>
      <c r="I1" s="76"/>
      <c r="J1" s="76"/>
      <c r="K1" s="76"/>
      <c r="L1" s="76"/>
    </row>
    <row r="2" spans="1:12" ht="15.75" thickTop="1"/>
    <row r="3" spans="1:12" ht="18.75">
      <c r="A3" s="74" t="s">
        <v>1</v>
      </c>
    </row>
    <row r="4" spans="1:12">
      <c r="A4" s="167" t="s">
        <v>162</v>
      </c>
      <c r="B4" s="167"/>
      <c r="C4" s="167"/>
      <c r="D4" s="167"/>
      <c r="E4" s="167"/>
      <c r="F4" s="167"/>
      <c r="G4" s="167"/>
      <c r="H4" s="167"/>
      <c r="I4" s="167"/>
      <c r="J4" s="167"/>
    </row>
    <row r="5" spans="1:12">
      <c r="A5" s="144"/>
      <c r="B5" s="144"/>
      <c r="C5" s="144"/>
      <c r="D5" s="144"/>
      <c r="E5" s="144"/>
      <c r="F5" s="144"/>
      <c r="G5" s="144"/>
      <c r="H5" s="144"/>
      <c r="I5" s="144"/>
      <c r="J5" s="144"/>
    </row>
    <row r="6" spans="1:12" ht="18.75">
      <c r="A6" s="74" t="s">
        <v>3</v>
      </c>
    </row>
    <row r="7" spans="1:12" ht="15.75">
      <c r="A7" s="77" t="s">
        <v>163</v>
      </c>
    </row>
    <row r="9" spans="1:12" ht="15.75">
      <c r="A9" s="73" t="s">
        <v>164</v>
      </c>
    </row>
    <row r="10" spans="1:12">
      <c r="A10" t="s">
        <v>165</v>
      </c>
    </row>
    <row r="12" spans="1:12" ht="15.75">
      <c r="A12" s="73" t="s">
        <v>166</v>
      </c>
    </row>
    <row r="13" spans="1:12">
      <c r="A13" t="s">
        <v>167</v>
      </c>
    </row>
    <row r="15" spans="1:12" ht="15.75">
      <c r="A15" s="73" t="s">
        <v>45</v>
      </c>
    </row>
    <row r="16" spans="1:12">
      <c r="A16" t="s">
        <v>168</v>
      </c>
    </row>
    <row r="17" spans="1:10">
      <c r="A17" s="151" t="s">
        <v>113</v>
      </c>
      <c r="B17" s="151" t="s">
        <v>49</v>
      </c>
      <c r="C17" s="169" t="s">
        <v>16</v>
      </c>
      <c r="D17" s="169"/>
    </row>
    <row r="18" spans="1:10">
      <c r="A18" s="88">
        <v>42821</v>
      </c>
      <c r="B18" s="152" t="str">
        <f>TEXT(A18, "dd/mm/yyyy")</f>
        <v>27/03/2017</v>
      </c>
      <c r="C18" s="178" t="s">
        <v>169</v>
      </c>
      <c r="D18" s="179"/>
    </row>
    <row r="19" spans="1:10">
      <c r="A19" s="82">
        <v>42821</v>
      </c>
      <c r="B19" s="152" t="str">
        <f>TEXT(A19, "dd/m/yyyy")</f>
        <v>27/3/2017</v>
      </c>
      <c r="C19" s="178" t="s">
        <v>170</v>
      </c>
      <c r="D19" s="179"/>
      <c r="F19" s="195" t="s">
        <v>171</v>
      </c>
      <c r="G19" s="195"/>
      <c r="H19" s="195"/>
      <c r="I19" s="195"/>
    </row>
    <row r="20" spans="1:10">
      <c r="A20" s="82">
        <v>42821</v>
      </c>
      <c r="B20" s="152" t="str">
        <f>TEXT(A20, "mmm dd yyyy")</f>
        <v>Mar 27 2017</v>
      </c>
      <c r="C20" s="178" t="s">
        <v>172</v>
      </c>
      <c r="D20" s="179"/>
      <c r="F20" s="195"/>
      <c r="G20" s="195"/>
      <c r="H20" s="195"/>
      <c r="I20" s="195"/>
    </row>
    <row r="21" spans="1:10">
      <c r="A21" s="88">
        <v>42821</v>
      </c>
      <c r="B21" s="152" t="str">
        <f>TEXT(A21,"mmm-yy")</f>
        <v>Mar-17</v>
      </c>
      <c r="C21" s="178" t="s">
        <v>173</v>
      </c>
      <c r="D21" s="179"/>
      <c r="F21" s="195"/>
      <c r="G21" s="195"/>
      <c r="H21" s="195"/>
      <c r="I21" s="195"/>
    </row>
    <row r="22" spans="1:10">
      <c r="A22" s="82">
        <v>14.141413999999999</v>
      </c>
      <c r="B22" s="152" t="str">
        <f>TEXT(A22, "0.00")</f>
        <v>14.14</v>
      </c>
      <c r="C22" s="178" t="s">
        <v>174</v>
      </c>
      <c r="D22" s="179"/>
      <c r="F22" s="195"/>
      <c r="G22" s="195"/>
      <c r="H22" s="195"/>
      <c r="I22" s="195"/>
    </row>
    <row r="23" spans="1:10">
      <c r="A23" s="82">
        <v>14598.12</v>
      </c>
      <c r="B23" s="152" t="str">
        <f>TEXT(A23, "$#,##0.00")</f>
        <v>$14,598.12</v>
      </c>
      <c r="C23" s="178" t="s">
        <v>175</v>
      </c>
      <c r="D23" s="179"/>
      <c r="F23" s="195"/>
      <c r="G23" s="195"/>
      <c r="H23" s="195"/>
      <c r="I23" s="195"/>
    </row>
    <row r="24" spans="1:10">
      <c r="A24" s="82">
        <v>14598.12</v>
      </c>
      <c r="B24" s="152" t="str">
        <f>TEXT(A24, "£#,##0.00")</f>
        <v>£14,598.12</v>
      </c>
      <c r="C24" s="178" t="s">
        <v>176</v>
      </c>
      <c r="D24" s="179"/>
    </row>
    <row r="25" spans="1:10">
      <c r="A25" s="90">
        <v>0.58333333333333337</v>
      </c>
      <c r="B25" s="152" t="str">
        <f>TEXT(A25, "hh:mm")</f>
        <v>14:00</v>
      </c>
      <c r="C25" s="178" t="s">
        <v>177</v>
      </c>
      <c r="D25" s="179"/>
    </row>
    <row r="26" spans="1:10" ht="15.75">
      <c r="A26" s="73"/>
    </row>
    <row r="27" spans="1:10" ht="15.75">
      <c r="A27" s="73" t="s">
        <v>178</v>
      </c>
    </row>
    <row r="28" spans="1:10">
      <c r="A28" s="167" t="s">
        <v>179</v>
      </c>
      <c r="B28" s="167"/>
      <c r="C28" s="167"/>
      <c r="D28" s="167"/>
      <c r="E28" s="167"/>
      <c r="F28" s="167"/>
      <c r="G28" s="167"/>
      <c r="H28" s="167"/>
      <c r="I28" s="167"/>
      <c r="J28" s="167"/>
    </row>
    <row r="29" spans="1:10" ht="15.75" customHeight="1">
      <c r="A29" s="167"/>
      <c r="B29" s="167"/>
      <c r="C29" s="167"/>
      <c r="D29" s="167"/>
      <c r="E29" s="167"/>
      <c r="F29" s="167"/>
      <c r="G29" s="167"/>
      <c r="H29" s="167"/>
      <c r="I29" s="167"/>
      <c r="J29" s="167"/>
    </row>
    <row r="30" spans="1:10" ht="15.75">
      <c r="A30" s="73"/>
    </row>
    <row r="31" spans="1:10" ht="15.75">
      <c r="A31" s="73" t="s">
        <v>27</v>
      </c>
    </row>
    <row r="32" spans="1:10" ht="15" customHeight="1">
      <c r="A32" s="167" t="s">
        <v>157</v>
      </c>
      <c r="B32" s="167"/>
      <c r="C32" s="167"/>
      <c r="D32" s="167"/>
      <c r="E32" s="167"/>
      <c r="F32" s="167"/>
      <c r="G32" s="167"/>
      <c r="H32" s="167"/>
      <c r="I32" s="167"/>
      <c r="J32" s="167"/>
    </row>
    <row r="33" spans="1:3">
      <c r="A33" s="159" t="s">
        <v>164</v>
      </c>
      <c r="B33" s="159" t="s">
        <v>180</v>
      </c>
      <c r="C33" s="159" t="s">
        <v>158</v>
      </c>
    </row>
    <row r="34" spans="1:3">
      <c r="A34" s="162">
        <v>42876</v>
      </c>
      <c r="B34" s="162">
        <v>42876</v>
      </c>
      <c r="C34" s="81" t="str">
        <f>TEXT(A34,"M/DD/YYYY")</f>
        <v>5/21/2017</v>
      </c>
    </row>
    <row r="35" spans="1:3">
      <c r="A35" s="152">
        <v>42876</v>
      </c>
      <c r="B35" s="162">
        <v>42876</v>
      </c>
      <c r="C35" s="81" t="str">
        <f>TEXT(A35,"M/DD/YYYY")</f>
        <v>5/21/2017</v>
      </c>
    </row>
    <row r="36" spans="1:3">
      <c r="A36" s="91">
        <v>0.5</v>
      </c>
      <c r="B36" s="91">
        <v>0.5</v>
      </c>
      <c r="C36" s="81" t="str">
        <f>TEXT(A36,"HH:MM")</f>
        <v>12:00</v>
      </c>
    </row>
    <row r="37" spans="1:3">
      <c r="A37" s="152">
        <v>12345.78</v>
      </c>
      <c r="B37" s="92">
        <v>12345.78</v>
      </c>
      <c r="C37" s="81" t="str">
        <f>TEXT(A37,"£#,##0.00")</f>
        <v>£12,345.78</v>
      </c>
    </row>
    <row r="38" spans="1:3">
      <c r="A38" s="152">
        <v>12345.78</v>
      </c>
      <c r="B38" s="93">
        <v>12346</v>
      </c>
      <c r="C38" s="151" t="str">
        <f>TEXT(A38,"£#,##0")</f>
        <v>£12,346</v>
      </c>
    </row>
    <row r="39" spans="1:3">
      <c r="A39" s="89"/>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28" zoomScale="90" zoomScaleNormal="90" workbookViewId="0">
      <selection activeCell="F41" sqref="F41:H41"/>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181</v>
      </c>
      <c r="B1" s="196"/>
      <c r="C1" s="196"/>
      <c r="D1" s="76"/>
      <c r="E1" s="76"/>
      <c r="F1" s="76"/>
      <c r="G1" s="76"/>
      <c r="H1" s="76"/>
      <c r="I1" s="76"/>
      <c r="J1" s="76"/>
      <c r="K1" s="76"/>
      <c r="L1" s="76"/>
    </row>
    <row r="2" spans="1:12" ht="15.75" thickTop="1"/>
    <row r="3" spans="1:12" ht="18.75">
      <c r="A3" s="74" t="s">
        <v>1</v>
      </c>
    </row>
    <row r="4" spans="1:12">
      <c r="A4" t="s">
        <v>182</v>
      </c>
    </row>
    <row r="6" spans="1:12" ht="18.75">
      <c r="A6" s="74" t="s">
        <v>3</v>
      </c>
    </row>
    <row r="7" spans="1:12" ht="15.75">
      <c r="A7" s="77" t="s">
        <v>183</v>
      </c>
    </row>
    <row r="8" spans="1:12">
      <c r="A8" t="s">
        <v>93</v>
      </c>
    </row>
    <row r="9" spans="1:12" ht="15.75">
      <c r="A9" s="77" t="s">
        <v>184</v>
      </c>
    </row>
    <row r="11" spans="1:12" ht="15.75">
      <c r="A11" s="73" t="s">
        <v>185</v>
      </c>
    </row>
    <row r="12" spans="1:12">
      <c r="A12" t="s">
        <v>186</v>
      </c>
    </row>
    <row r="14" spans="1:12" ht="15.75">
      <c r="A14" s="73" t="s">
        <v>187</v>
      </c>
    </row>
    <row r="15" spans="1:12">
      <c r="A15" t="s">
        <v>188</v>
      </c>
    </row>
    <row r="17" spans="1:11" ht="15.75">
      <c r="A17" s="73" t="s">
        <v>11</v>
      </c>
    </row>
    <row r="18" spans="1:11">
      <c r="A18" t="s">
        <v>189</v>
      </c>
    </row>
    <row r="19" spans="1:11">
      <c r="A19" s="151" t="s">
        <v>190</v>
      </c>
      <c r="B19" s="151" t="s">
        <v>191</v>
      </c>
      <c r="C19" s="151" t="s">
        <v>192</v>
      </c>
      <c r="D19" s="146" t="s">
        <v>49</v>
      </c>
      <c r="E19" s="169" t="s">
        <v>16</v>
      </c>
      <c r="F19" s="169"/>
      <c r="G19" s="169"/>
    </row>
    <row r="20" spans="1:11">
      <c r="A20" s="152" t="s">
        <v>17</v>
      </c>
      <c r="B20" s="152">
        <v>90</v>
      </c>
      <c r="C20" s="158" t="s">
        <v>193</v>
      </c>
      <c r="D20" s="151" t="str">
        <f>CONCATENATE(A20,B20,C20)</f>
        <v>S00190Pass</v>
      </c>
      <c r="E20" s="173" t="s">
        <v>194</v>
      </c>
      <c r="F20" s="173"/>
      <c r="G20" s="173"/>
    </row>
    <row r="21" spans="1:11">
      <c r="A21" s="152" t="s">
        <v>19</v>
      </c>
      <c r="B21" s="152">
        <v>70</v>
      </c>
      <c r="C21" s="158" t="s">
        <v>193</v>
      </c>
      <c r="D21" s="151" t="str">
        <f t="shared" ref="D21" si="0">CONCATENATE(A21,B21,C21)</f>
        <v>S00270Pass</v>
      </c>
      <c r="E21" s="173" t="s">
        <v>195</v>
      </c>
      <c r="F21" s="173"/>
      <c r="G21" s="173"/>
    </row>
    <row r="22" spans="1:11">
      <c r="A22" s="152" t="s">
        <v>21</v>
      </c>
      <c r="B22" s="152">
        <v>20</v>
      </c>
      <c r="C22" s="158" t="s">
        <v>196</v>
      </c>
      <c r="D22" s="151" t="str">
        <f>A22&amp;B22&amp;C22</f>
        <v>S00320Fail</v>
      </c>
      <c r="E22" s="173" t="s">
        <v>197</v>
      </c>
      <c r="F22" s="173"/>
      <c r="G22" s="173"/>
    </row>
    <row r="23" spans="1:11">
      <c r="A23" s="152" t="s">
        <v>23</v>
      </c>
      <c r="B23" s="152">
        <v>41</v>
      </c>
      <c r="C23" s="158" t="s">
        <v>193</v>
      </c>
      <c r="D23" s="151" t="str">
        <f>A23&amp;B23&amp;C23</f>
        <v>S00441Pass</v>
      </c>
      <c r="E23" s="173" t="s">
        <v>198</v>
      </c>
      <c r="F23" s="173"/>
      <c r="G23" s="173"/>
    </row>
    <row r="24" spans="1:11">
      <c r="A24" s="152" t="s">
        <v>199</v>
      </c>
      <c r="B24" s="152">
        <v>39</v>
      </c>
      <c r="C24" s="158" t="s">
        <v>196</v>
      </c>
      <c r="D24" s="151" t="str">
        <f>CONCATENATE(A24," ",B24," ",C24)</f>
        <v>S005 39 Fail</v>
      </c>
      <c r="E24" s="173" t="s">
        <v>200</v>
      </c>
      <c r="F24" s="173"/>
      <c r="G24" s="173"/>
      <c r="I24" s="181" t="s">
        <v>201</v>
      </c>
      <c r="J24" s="181"/>
      <c r="K24" s="181"/>
    </row>
    <row r="25" spans="1:11">
      <c r="A25" s="152" t="s">
        <v>202</v>
      </c>
      <c r="B25" s="152">
        <v>99</v>
      </c>
      <c r="C25" s="158" t="s">
        <v>193</v>
      </c>
      <c r="D25" s="151" t="str">
        <f>A25&amp;" "&amp;B25&amp;" "&amp;C25</f>
        <v>S006 99 Pass</v>
      </c>
      <c r="E25" s="173" t="s">
        <v>203</v>
      </c>
      <c r="F25" s="173"/>
      <c r="G25" s="173"/>
      <c r="I25" s="181"/>
      <c r="J25" s="181"/>
      <c r="K25" s="181"/>
    </row>
    <row r="26" spans="1:11">
      <c r="A26" s="152" t="s">
        <v>204</v>
      </c>
      <c r="B26" s="152">
        <v>11</v>
      </c>
      <c r="C26" s="158" t="s">
        <v>196</v>
      </c>
      <c r="D26" s="151" t="str">
        <f>CONCATENATE(A26,";",B26,";",C26)</f>
        <v>S007;11;Fail</v>
      </c>
      <c r="E26" s="173" t="s">
        <v>205</v>
      </c>
      <c r="F26" s="173"/>
      <c r="G26" s="173"/>
      <c r="I26" s="181"/>
      <c r="J26" s="181"/>
      <c r="K26" s="181"/>
    </row>
    <row r="28" spans="1:11" ht="15.75">
      <c r="A28" s="73" t="s">
        <v>25</v>
      </c>
    </row>
    <row r="29" spans="1:11">
      <c r="A29" s="167" t="s">
        <v>206</v>
      </c>
      <c r="B29" s="167"/>
      <c r="C29" s="167"/>
      <c r="D29" s="167"/>
      <c r="E29" s="167"/>
      <c r="F29" s="167"/>
      <c r="G29" s="167"/>
      <c r="H29" s="167"/>
      <c r="I29" s="167"/>
      <c r="J29" s="167"/>
    </row>
    <row r="30" spans="1:11">
      <c r="A30" s="167"/>
      <c r="B30" s="167"/>
      <c r="C30" s="167"/>
      <c r="D30" s="167"/>
      <c r="E30" s="167"/>
      <c r="F30" s="167"/>
      <c r="G30" s="167"/>
      <c r="H30" s="167"/>
      <c r="I30" s="167"/>
      <c r="J30" s="167"/>
    </row>
    <row r="31" spans="1:11">
      <c r="A31" s="144"/>
      <c r="B31" s="144"/>
      <c r="C31" s="144"/>
      <c r="D31" s="144"/>
      <c r="E31" s="144"/>
      <c r="F31" s="144"/>
      <c r="G31" s="144"/>
      <c r="H31" s="144"/>
      <c r="I31" s="144"/>
      <c r="J31" s="144"/>
    </row>
    <row r="32" spans="1:11" ht="15.75">
      <c r="A32" s="73" t="s">
        <v>27</v>
      </c>
    </row>
    <row r="33" spans="1:9">
      <c r="A33" t="s">
        <v>207</v>
      </c>
    </row>
    <row r="34" spans="1:9">
      <c r="A34" s="151" t="s">
        <v>190</v>
      </c>
      <c r="B34" s="151" t="s">
        <v>191</v>
      </c>
      <c r="C34" s="151" t="s">
        <v>192</v>
      </c>
      <c r="D34" s="146" t="s">
        <v>49</v>
      </c>
      <c r="E34" s="146" t="s">
        <v>208</v>
      </c>
      <c r="F34" s="197" t="s">
        <v>16</v>
      </c>
      <c r="G34" s="198"/>
      <c r="H34" s="199"/>
    </row>
    <row r="35" spans="1:9">
      <c r="A35" s="152" t="s">
        <v>32</v>
      </c>
      <c r="B35" s="152" t="s">
        <v>33</v>
      </c>
      <c r="C35" s="158">
        <v>800</v>
      </c>
      <c r="D35" s="151" t="s">
        <v>209</v>
      </c>
      <c r="E35" s="147" t="s">
        <v>181</v>
      </c>
      <c r="F35" s="250" t="s">
        <v>210</v>
      </c>
      <c r="G35" s="198"/>
      <c r="H35" s="199"/>
    </row>
    <row r="36" spans="1:9">
      <c r="A36" s="152" t="s">
        <v>34</v>
      </c>
      <c r="B36" s="152" t="s">
        <v>35</v>
      </c>
      <c r="C36" s="158">
        <v>500</v>
      </c>
      <c r="D36" s="151" t="s">
        <v>211</v>
      </c>
      <c r="E36" s="147" t="s">
        <v>181</v>
      </c>
      <c r="F36" s="250" t="s">
        <v>212</v>
      </c>
      <c r="G36" s="198"/>
      <c r="H36" s="199"/>
    </row>
    <row r="37" spans="1:9">
      <c r="A37" s="152" t="s">
        <v>36</v>
      </c>
      <c r="B37" s="152" t="s">
        <v>35</v>
      </c>
      <c r="C37" s="158">
        <v>100</v>
      </c>
      <c r="D37" s="151" t="s">
        <v>213</v>
      </c>
      <c r="E37" s="147" t="s">
        <v>181</v>
      </c>
      <c r="F37" s="250" t="s">
        <v>214</v>
      </c>
      <c r="G37" s="198"/>
      <c r="H37" s="199"/>
    </row>
    <row r="38" spans="1:9">
      <c r="A38" s="152" t="s">
        <v>37</v>
      </c>
      <c r="B38" s="152" t="s">
        <v>35</v>
      </c>
      <c r="C38" s="158">
        <v>400</v>
      </c>
      <c r="D38" s="151" t="s">
        <v>215</v>
      </c>
      <c r="E38" s="147" t="s">
        <v>216</v>
      </c>
      <c r="F38" s="250" t="s">
        <v>217</v>
      </c>
      <c r="G38" s="198"/>
      <c r="H38" s="199"/>
    </row>
    <row r="39" spans="1:9">
      <c r="A39" s="152" t="s">
        <v>218</v>
      </c>
      <c r="B39" s="152" t="s">
        <v>33</v>
      </c>
      <c r="C39" s="158">
        <v>1000</v>
      </c>
      <c r="D39" s="151" t="s">
        <v>219</v>
      </c>
      <c r="E39" s="147" t="s">
        <v>216</v>
      </c>
      <c r="F39" s="250" t="s">
        <v>220</v>
      </c>
      <c r="G39" s="198"/>
      <c r="H39" s="199"/>
    </row>
    <row r="40" spans="1:9">
      <c r="A40" s="152" t="s">
        <v>221</v>
      </c>
      <c r="B40" s="152" t="s">
        <v>35</v>
      </c>
      <c r="C40" s="158">
        <v>250</v>
      </c>
      <c r="D40" s="151" t="s">
        <v>222</v>
      </c>
      <c r="E40" s="147" t="s">
        <v>216</v>
      </c>
      <c r="F40" s="250" t="s">
        <v>223</v>
      </c>
      <c r="G40" s="198"/>
      <c r="H40" s="199"/>
    </row>
    <row r="41" spans="1:9">
      <c r="A41" s="152" t="s">
        <v>224</v>
      </c>
      <c r="B41" s="152" t="s">
        <v>35</v>
      </c>
      <c r="C41" s="158">
        <v>500</v>
      </c>
      <c r="D41" s="151" t="s">
        <v>225</v>
      </c>
      <c r="E41" s="147" t="s">
        <v>216</v>
      </c>
      <c r="F41" s="250" t="s">
        <v>226</v>
      </c>
      <c r="G41" s="198"/>
      <c r="H41" s="199"/>
    </row>
    <row r="43" spans="1:9">
      <c r="D43" s="142"/>
      <c r="E43" s="143"/>
      <c r="I43" s="142"/>
    </row>
    <row r="44" spans="1:9">
      <c r="D44" s="142"/>
      <c r="E44" s="143"/>
      <c r="I44" s="142"/>
    </row>
    <row r="45" spans="1:9">
      <c r="D45" s="142"/>
      <c r="E45" s="143"/>
    </row>
    <row r="46" spans="1:9">
      <c r="D46" s="142"/>
      <c r="E46" s="143"/>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topLeftCell="A29" zoomScale="90" zoomScaleNormal="90" workbookViewId="0">
      <selection activeCell="F24" sqref="F24:H24"/>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227</v>
      </c>
      <c r="B1" s="196"/>
      <c r="C1" s="94"/>
      <c r="D1" s="76"/>
      <c r="E1" s="76"/>
      <c r="F1" s="76"/>
      <c r="G1" s="76"/>
      <c r="H1" s="76"/>
      <c r="I1" s="76"/>
      <c r="J1" s="76"/>
      <c r="K1" s="76"/>
      <c r="L1" s="76"/>
    </row>
    <row r="2" spans="1:12" ht="15.75" thickTop="1"/>
    <row r="3" spans="1:12" ht="18.75">
      <c r="A3" s="74" t="s">
        <v>1</v>
      </c>
    </row>
    <row r="4" spans="1:12">
      <c r="A4" s="200" t="s">
        <v>228</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229</v>
      </c>
    </row>
    <row r="10" spans="1:12" ht="15.75">
      <c r="A10" s="73" t="s">
        <v>230</v>
      </c>
    </row>
    <row r="11" spans="1:12">
      <c r="A11" t="s">
        <v>186</v>
      </c>
    </row>
    <row r="13" spans="1:12" ht="15.75">
      <c r="A13" s="73" t="s">
        <v>11</v>
      </c>
    </row>
    <row r="14" spans="1:12">
      <c r="A14" t="s">
        <v>231</v>
      </c>
    </row>
    <row r="15" spans="1:12">
      <c r="A15" s="151" t="s">
        <v>190</v>
      </c>
      <c r="B15" s="146" t="s">
        <v>49</v>
      </c>
      <c r="C15" s="169" t="s">
        <v>16</v>
      </c>
      <c r="D15" s="169"/>
      <c r="E15" s="169"/>
    </row>
    <row r="16" spans="1:12">
      <c r="A16" s="152" t="s">
        <v>232</v>
      </c>
      <c r="B16" s="151" t="str">
        <f>TRIM(A16)</f>
        <v>S001 A</v>
      </c>
      <c r="C16" s="173" t="s">
        <v>233</v>
      </c>
      <c r="D16" s="173"/>
      <c r="E16" s="173"/>
    </row>
    <row r="17" spans="1:10">
      <c r="A17" s="152" t="s">
        <v>234</v>
      </c>
      <c r="B17" s="151" t="str">
        <f t="shared" ref="B17:B19" si="0">TRIM(A17)</f>
        <v>S001 A</v>
      </c>
      <c r="C17" s="173" t="s">
        <v>235</v>
      </c>
      <c r="D17" s="173"/>
      <c r="E17" s="173"/>
    </row>
    <row r="18" spans="1:10">
      <c r="A18" s="152" t="s">
        <v>236</v>
      </c>
      <c r="B18" s="151" t="str">
        <f t="shared" si="0"/>
        <v>S002</v>
      </c>
      <c r="C18" s="173" t="s">
        <v>237</v>
      </c>
      <c r="D18" s="173"/>
      <c r="E18" s="173"/>
    </row>
    <row r="19" spans="1:10">
      <c r="A19" s="152" t="s">
        <v>238</v>
      </c>
      <c r="B19" s="151" t="str">
        <f t="shared" si="0"/>
        <v>S003</v>
      </c>
      <c r="C19" s="173" t="s">
        <v>239</v>
      </c>
      <c r="D19" s="173"/>
      <c r="E19" s="173"/>
    </row>
    <row r="21" spans="1:10" ht="15.75">
      <c r="A21" s="73" t="s">
        <v>27</v>
      </c>
    </row>
    <row r="22" spans="1:10">
      <c r="A22" s="167" t="s">
        <v>240</v>
      </c>
      <c r="B22" s="167"/>
      <c r="C22" s="167"/>
      <c r="D22" s="167"/>
      <c r="E22" s="167"/>
      <c r="F22" s="167"/>
      <c r="G22" s="167"/>
      <c r="H22" s="167"/>
      <c r="I22" s="167"/>
      <c r="J22" s="167"/>
    </row>
    <row r="23" spans="1:10">
      <c r="A23" s="167"/>
      <c r="B23" s="167"/>
      <c r="C23" s="167"/>
      <c r="D23" s="167"/>
      <c r="E23" s="167"/>
      <c r="F23" s="167"/>
      <c r="G23" s="167"/>
      <c r="H23" s="167"/>
      <c r="I23" s="167"/>
      <c r="J23" s="167"/>
    </row>
    <row r="24" spans="1:10">
      <c r="A24" s="151" t="s">
        <v>190</v>
      </c>
      <c r="B24" s="151" t="s">
        <v>191</v>
      </c>
      <c r="C24" s="151" t="s">
        <v>192</v>
      </c>
      <c r="D24" s="146" t="s">
        <v>49</v>
      </c>
      <c r="E24" s="146" t="s">
        <v>208</v>
      </c>
      <c r="F24" s="197" t="s">
        <v>16</v>
      </c>
      <c r="G24" s="198"/>
      <c r="H24" s="199"/>
    </row>
    <row r="25" spans="1:10">
      <c r="A25" s="152" t="s">
        <v>241</v>
      </c>
      <c r="B25" s="152" t="s">
        <v>33</v>
      </c>
      <c r="C25" s="158">
        <v>800</v>
      </c>
      <c r="D25" s="151" t="s">
        <v>209</v>
      </c>
      <c r="E25" s="147" t="s">
        <v>181</v>
      </c>
      <c r="F25" s="251" t="s">
        <v>242</v>
      </c>
      <c r="G25" s="252"/>
      <c r="H25" s="253"/>
    </row>
    <row r="26" spans="1:10">
      <c r="A26" s="152" t="s">
        <v>243</v>
      </c>
      <c r="B26" s="152" t="s">
        <v>35</v>
      </c>
      <c r="C26" s="158">
        <v>500</v>
      </c>
      <c r="D26" s="151" t="s">
        <v>211</v>
      </c>
      <c r="E26" s="147" t="s">
        <v>181</v>
      </c>
      <c r="F26" s="251" t="s">
        <v>244</v>
      </c>
      <c r="G26" s="252"/>
      <c r="H26" s="253"/>
    </row>
    <row r="27" spans="1:10">
      <c r="A27" s="152" t="s">
        <v>36</v>
      </c>
      <c r="B27" s="152" t="s">
        <v>245</v>
      </c>
      <c r="C27" s="158">
        <v>100</v>
      </c>
      <c r="D27" s="151" t="s">
        <v>213</v>
      </c>
      <c r="E27" s="147" t="s">
        <v>216</v>
      </c>
      <c r="F27" s="251" t="s">
        <v>246</v>
      </c>
      <c r="G27" s="252"/>
      <c r="H27" s="253"/>
    </row>
    <row r="28" spans="1:10">
      <c r="A28" s="152" t="s">
        <v>37</v>
      </c>
      <c r="B28" s="152" t="s">
        <v>247</v>
      </c>
      <c r="C28" s="158">
        <v>400</v>
      </c>
      <c r="D28" s="151" t="s">
        <v>215</v>
      </c>
      <c r="E28" s="147" t="s">
        <v>216</v>
      </c>
      <c r="F28" s="251" t="s">
        <v>248</v>
      </c>
      <c r="G28" s="252"/>
      <c r="H28" s="253"/>
    </row>
  </sheetData>
  <mergeCells count="9">
    <mergeCell ref="A1:B1"/>
    <mergeCell ref="A4:J5"/>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32" zoomScale="90" zoomScaleNormal="90" workbookViewId="0">
      <selection activeCell="E43" sqref="E43"/>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249</v>
      </c>
      <c r="B1" s="196"/>
      <c r="C1" s="196"/>
      <c r="D1" s="76"/>
      <c r="E1" s="76"/>
      <c r="F1" s="76"/>
      <c r="G1" s="76"/>
      <c r="H1" s="76"/>
      <c r="I1" s="76"/>
      <c r="J1" s="76"/>
      <c r="K1" s="76"/>
      <c r="L1" s="76"/>
    </row>
    <row r="2" spans="1:12" ht="15.75" thickTop="1"/>
    <row r="3" spans="1:12" ht="18.75">
      <c r="A3" s="74" t="s">
        <v>1</v>
      </c>
    </row>
    <row r="4" spans="1:12">
      <c r="A4" s="200" t="s">
        <v>250</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251</v>
      </c>
    </row>
    <row r="10" spans="1:12" ht="15.75">
      <c r="A10" s="73" t="s">
        <v>230</v>
      </c>
    </row>
    <row r="11" spans="1:12">
      <c r="A11" t="s">
        <v>252</v>
      </c>
    </row>
    <row r="13" spans="1:12" ht="15.75">
      <c r="A13" s="73" t="s">
        <v>253</v>
      </c>
    </row>
    <row r="14" spans="1:12">
      <c r="A14" t="s">
        <v>254</v>
      </c>
    </row>
    <row r="16" spans="1:12" ht="15.75">
      <c r="A16" s="73" t="s">
        <v>255</v>
      </c>
    </row>
    <row r="17" spans="1:10">
      <c r="A17" t="s">
        <v>256</v>
      </c>
    </row>
    <row r="19" spans="1:10" ht="15.75">
      <c r="A19" s="73" t="s">
        <v>257</v>
      </c>
    </row>
    <row r="20" spans="1:10">
      <c r="A20" s="167" t="s">
        <v>258</v>
      </c>
      <c r="B20" s="167"/>
      <c r="C20" s="167"/>
      <c r="D20" s="167"/>
      <c r="E20" s="167"/>
      <c r="F20" s="167"/>
      <c r="G20" s="167"/>
      <c r="H20" s="167"/>
      <c r="I20" s="167"/>
      <c r="J20" s="167"/>
    </row>
    <row r="21" spans="1:10">
      <c r="A21" s="167"/>
      <c r="B21" s="167"/>
      <c r="C21" s="167"/>
      <c r="D21" s="167"/>
      <c r="E21" s="167"/>
      <c r="F21" s="167"/>
      <c r="G21" s="167"/>
      <c r="H21" s="167"/>
      <c r="I21" s="167"/>
      <c r="J21" s="167"/>
    </row>
    <row r="22" spans="1:10">
      <c r="A22" s="144"/>
      <c r="B22" s="144"/>
      <c r="C22" s="144"/>
      <c r="D22" s="144"/>
      <c r="E22" s="144"/>
      <c r="F22" s="144"/>
      <c r="G22" s="144"/>
      <c r="H22" s="144"/>
      <c r="I22" s="144"/>
      <c r="J22" s="144"/>
    </row>
    <row r="23" spans="1:10" ht="15.75">
      <c r="A23" s="73" t="s">
        <v>11</v>
      </c>
    </row>
    <row r="24" spans="1:10">
      <c r="A24" t="s">
        <v>189</v>
      </c>
    </row>
    <row r="25" spans="1:10">
      <c r="A25" s="186" t="s">
        <v>259</v>
      </c>
      <c r="B25" s="186"/>
      <c r="C25" s="186"/>
      <c r="D25" s="151" t="s">
        <v>260</v>
      </c>
      <c r="E25" s="186" t="s">
        <v>49</v>
      </c>
      <c r="F25" s="186"/>
      <c r="G25" s="169" t="s">
        <v>16</v>
      </c>
      <c r="H25" s="169"/>
      <c r="I25" s="169"/>
    </row>
    <row r="26" spans="1:10">
      <c r="A26" s="201" t="s">
        <v>261</v>
      </c>
      <c r="B26" s="201"/>
      <c r="C26" s="201"/>
      <c r="D26" s="152"/>
      <c r="E26" s="201" t="str">
        <f>SUBSTITUTE(A26,"t","b")</f>
        <v>Hub</v>
      </c>
      <c r="F26" s="201"/>
      <c r="G26" s="194" t="s">
        <v>262</v>
      </c>
      <c r="H26" s="194"/>
      <c r="I26" s="194"/>
    </row>
    <row r="27" spans="1:10">
      <c r="A27" s="201" t="s">
        <v>263</v>
      </c>
      <c r="B27" s="201"/>
      <c r="C27" s="201"/>
      <c r="D27" s="152">
        <v>1</v>
      </c>
      <c r="E27" s="201" t="str">
        <f>SUBSTITUTE(A27,"b","T",1)</f>
        <v>Tumble</v>
      </c>
      <c r="F27" s="201"/>
      <c r="G27" s="194" t="s">
        <v>264</v>
      </c>
      <c r="H27" s="194"/>
      <c r="I27" s="194"/>
    </row>
    <row r="28" spans="1:10">
      <c r="A28" s="201" t="s">
        <v>265</v>
      </c>
      <c r="B28" s="201"/>
      <c r="C28" s="201"/>
      <c r="D28" s="152"/>
      <c r="E28" s="201" t="str">
        <f>SUBSTITUTE(A28,"the"," ")</f>
        <v xml:space="preserve">  car is in   driveway</v>
      </c>
      <c r="F28" s="201"/>
      <c r="G28" s="194" t="s">
        <v>266</v>
      </c>
      <c r="H28" s="194"/>
      <c r="I28" s="194"/>
    </row>
    <row r="29" spans="1:10">
      <c r="A29" s="201" t="s">
        <v>265</v>
      </c>
      <c r="B29" s="201"/>
      <c r="C29" s="201"/>
      <c r="D29" s="152">
        <v>2</v>
      </c>
      <c r="E29" s="201" t="str">
        <f>SUBSTITUTE(A29,"the","a",2)</f>
        <v>the car is in a driveway</v>
      </c>
      <c r="F29" s="201"/>
      <c r="G29" s="194" t="s">
        <v>267</v>
      </c>
      <c r="H29" s="194"/>
      <c r="I29" s="194"/>
    </row>
    <row r="30" spans="1:10">
      <c r="A30" s="201" t="s">
        <v>268</v>
      </c>
      <c r="B30" s="201"/>
      <c r="C30" s="201"/>
      <c r="D30" s="152"/>
      <c r="E30" s="201" t="str">
        <f>SUBSTITUTE(A30,"The"," ")</f>
        <v xml:space="preserve">  car is in the driveway</v>
      </c>
      <c r="F30" s="201"/>
      <c r="G30" s="194" t="s">
        <v>269</v>
      </c>
      <c r="H30" s="194"/>
      <c r="I30" s="194"/>
    </row>
    <row r="32" spans="1:10" ht="15.75">
      <c r="A32" s="73" t="s">
        <v>25</v>
      </c>
    </row>
    <row r="33" spans="1:10">
      <c r="A33" s="167" t="s">
        <v>270</v>
      </c>
      <c r="B33" s="167"/>
      <c r="C33" s="167"/>
      <c r="D33" s="167"/>
      <c r="E33" s="167"/>
      <c r="F33" s="167"/>
      <c r="G33" s="167"/>
      <c r="H33" s="167"/>
      <c r="I33" s="167"/>
      <c r="J33" s="167"/>
    </row>
    <row r="34" spans="1:10">
      <c r="A34" s="167"/>
      <c r="B34" s="167"/>
      <c r="C34" s="167"/>
      <c r="D34" s="167"/>
      <c r="E34" s="167"/>
      <c r="F34" s="167"/>
      <c r="G34" s="167"/>
      <c r="H34" s="167"/>
      <c r="I34" s="167"/>
      <c r="J34" s="167"/>
    </row>
    <row r="36" spans="1:10" ht="15.75">
      <c r="A36" s="73" t="s">
        <v>27</v>
      </c>
    </row>
    <row r="37" spans="1:10">
      <c r="A37" s="167" t="s">
        <v>271</v>
      </c>
      <c r="B37" s="167"/>
      <c r="C37" s="167"/>
      <c r="D37" s="167"/>
      <c r="E37" s="167"/>
      <c r="F37" s="167"/>
      <c r="G37" s="167"/>
      <c r="H37" s="167"/>
      <c r="I37" s="167"/>
      <c r="J37" s="167"/>
    </row>
    <row r="38" spans="1:10">
      <c r="A38" s="191" t="s">
        <v>259</v>
      </c>
      <c r="B38" s="193"/>
      <c r="C38" s="186" t="s">
        <v>49</v>
      </c>
      <c r="D38" s="186"/>
      <c r="E38" s="198" t="s">
        <v>16</v>
      </c>
      <c r="F38" s="199"/>
    </row>
    <row r="39" spans="1:10">
      <c r="A39" s="178" t="s">
        <v>272</v>
      </c>
      <c r="B39" s="179"/>
      <c r="C39" s="178" t="s">
        <v>273</v>
      </c>
      <c r="D39" s="179"/>
      <c r="E39" s="254" t="s">
        <v>274</v>
      </c>
      <c r="F39" s="199"/>
    </row>
    <row r="40" spans="1:10">
      <c r="A40" s="178" t="s">
        <v>275</v>
      </c>
      <c r="B40" s="179"/>
      <c r="C40" s="178" t="s">
        <v>276</v>
      </c>
      <c r="D40" s="179"/>
      <c r="E40" s="254" t="s">
        <v>277</v>
      </c>
      <c r="F40" s="199"/>
    </row>
    <row r="41" spans="1:10">
      <c r="A41" s="178" t="s">
        <v>278</v>
      </c>
      <c r="B41" s="179"/>
      <c r="C41" s="178" t="s">
        <v>279</v>
      </c>
      <c r="D41" s="179"/>
      <c r="E41" s="254" t="s">
        <v>280</v>
      </c>
      <c r="F41" s="199"/>
    </row>
    <row r="42" spans="1:10">
      <c r="A42" s="178" t="s">
        <v>281</v>
      </c>
      <c r="B42" s="179"/>
      <c r="C42" s="178" t="s">
        <v>282</v>
      </c>
      <c r="D42" s="179"/>
      <c r="E42" s="254" t="s">
        <v>283</v>
      </c>
      <c r="F42" s="199"/>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topLeftCell="A16" zoomScale="90" zoomScaleNormal="90" workbookViewId="0">
      <selection activeCell="C25" sqref="C25"/>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284</v>
      </c>
      <c r="B1" s="196"/>
      <c r="C1" s="94"/>
      <c r="D1" s="76"/>
      <c r="E1" s="76"/>
      <c r="F1" s="76"/>
      <c r="G1" s="76"/>
      <c r="H1" s="76"/>
      <c r="I1" s="76"/>
      <c r="J1" s="76"/>
      <c r="K1" s="76"/>
      <c r="L1" s="76"/>
    </row>
    <row r="2" spans="1:12" ht="15.75" thickTop="1"/>
    <row r="3" spans="1:12" ht="18.75">
      <c r="A3" s="74" t="s">
        <v>1</v>
      </c>
    </row>
    <row r="4" spans="1:12">
      <c r="A4" s="200" t="s">
        <v>285</v>
      </c>
      <c r="B4" s="200"/>
      <c r="C4" s="200"/>
      <c r="D4" s="200"/>
      <c r="E4" s="200"/>
      <c r="F4" s="200"/>
      <c r="G4" s="200"/>
      <c r="H4" s="200"/>
      <c r="I4" s="200"/>
      <c r="J4" s="200"/>
    </row>
    <row r="5" spans="1:12">
      <c r="A5" s="156"/>
      <c r="B5" s="156"/>
      <c r="C5" s="156"/>
      <c r="D5" s="156"/>
      <c r="E5" s="156"/>
      <c r="F5" s="156"/>
      <c r="G5" s="156"/>
      <c r="H5" s="156"/>
      <c r="I5" s="156"/>
      <c r="J5" s="156"/>
    </row>
    <row r="6" spans="1:12" ht="18.75">
      <c r="A6" s="74" t="s">
        <v>3</v>
      </c>
    </row>
    <row r="7" spans="1:12" ht="15.75">
      <c r="A7" s="77" t="s">
        <v>286</v>
      </c>
    </row>
    <row r="9" spans="1:12" ht="15.75">
      <c r="A9" s="73" t="s">
        <v>230</v>
      </c>
    </row>
    <row r="10" spans="1:12">
      <c r="A10" t="s">
        <v>287</v>
      </c>
    </row>
    <row r="12" spans="1:12" ht="15.75">
      <c r="A12" s="73" t="s">
        <v>11</v>
      </c>
    </row>
    <row r="13" spans="1:12">
      <c r="A13" t="s">
        <v>288</v>
      </c>
    </row>
    <row r="14" spans="1:12">
      <c r="A14" s="151" t="s">
        <v>230</v>
      </c>
      <c r="B14" s="146" t="s">
        <v>49</v>
      </c>
      <c r="C14" s="197" t="s">
        <v>16</v>
      </c>
      <c r="D14" s="199"/>
    </row>
    <row r="15" spans="1:12">
      <c r="A15" s="80">
        <v>12345</v>
      </c>
      <c r="B15" s="151">
        <f>VALUE(A15)</f>
        <v>12345</v>
      </c>
      <c r="C15" s="170" t="s">
        <v>289</v>
      </c>
      <c r="D15" s="172"/>
    </row>
    <row r="16" spans="1:12">
      <c r="A16" s="162">
        <v>42821</v>
      </c>
      <c r="B16" s="151">
        <f>VALUE(A16)</f>
        <v>42821</v>
      </c>
      <c r="C16" s="170" t="s">
        <v>290</v>
      </c>
      <c r="D16" s="172"/>
      <c r="F16" s="181" t="s">
        <v>291</v>
      </c>
      <c r="G16" s="181"/>
      <c r="H16" s="181"/>
      <c r="I16" s="181"/>
    </row>
    <row r="17" spans="1:10">
      <c r="A17" s="162">
        <v>41982</v>
      </c>
      <c r="B17" s="151">
        <f>VALUE(A17)</f>
        <v>41982</v>
      </c>
      <c r="C17" s="170" t="s">
        <v>292</v>
      </c>
      <c r="D17" s="172"/>
      <c r="F17" s="181"/>
      <c r="G17" s="181"/>
      <c r="H17" s="181"/>
      <c r="I17" s="181"/>
    </row>
    <row r="19" spans="1:10" ht="15.75">
      <c r="A19" s="73" t="s">
        <v>27</v>
      </c>
    </row>
    <row r="20" spans="1:10">
      <c r="A20" s="167" t="s">
        <v>293</v>
      </c>
      <c r="B20" s="167"/>
      <c r="C20" s="167"/>
      <c r="D20" s="167"/>
      <c r="E20" s="167"/>
      <c r="F20" s="167"/>
      <c r="G20" s="167"/>
      <c r="H20" s="167"/>
      <c r="I20" s="167"/>
      <c r="J20" s="167"/>
    </row>
    <row r="21" spans="1:10">
      <c r="A21" s="151" t="s">
        <v>230</v>
      </c>
      <c r="B21" s="146" t="s">
        <v>49</v>
      </c>
      <c r="C21" s="197" t="s">
        <v>16</v>
      </c>
      <c r="D21" s="198"/>
      <c r="E21" s="199"/>
    </row>
    <row r="22" spans="1:10">
      <c r="A22" s="95">
        <v>123.17</v>
      </c>
      <c r="B22" s="151">
        <v>123</v>
      </c>
      <c r="C22" s="257" t="s">
        <v>294</v>
      </c>
      <c r="D22" s="255"/>
      <c r="E22" s="256"/>
    </row>
    <row r="23" spans="1:10">
      <c r="A23" s="162">
        <v>43070</v>
      </c>
      <c r="B23" s="151">
        <v>43070</v>
      </c>
      <c r="C23" s="250" t="s">
        <v>295</v>
      </c>
      <c r="D23" s="198"/>
      <c r="E23" s="199"/>
    </row>
    <row r="24" spans="1:10">
      <c r="A24" s="162">
        <v>42747</v>
      </c>
      <c r="B24" s="151">
        <v>42747</v>
      </c>
      <c r="C24" s="250" t="s">
        <v>296</v>
      </c>
      <c r="D24" s="198"/>
      <c r="E24" s="199"/>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20" zoomScale="90" zoomScaleNormal="90" workbookViewId="0">
      <selection activeCell="C29" sqref="C29:D30"/>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297</v>
      </c>
      <c r="B1" s="196"/>
      <c r="C1" s="94"/>
      <c r="D1" s="76"/>
      <c r="E1" s="76"/>
      <c r="F1" s="76"/>
      <c r="G1" s="76"/>
      <c r="H1" s="76"/>
      <c r="I1" s="76"/>
      <c r="J1" s="76"/>
      <c r="K1" s="76"/>
      <c r="L1" s="76"/>
    </row>
    <row r="2" spans="1:12" ht="15.75" thickTop="1"/>
    <row r="3" spans="1:12" ht="18.75">
      <c r="A3" s="74" t="s">
        <v>1</v>
      </c>
    </row>
    <row r="4" spans="1:12">
      <c r="A4" s="200" t="s">
        <v>298</v>
      </c>
      <c r="B4" s="200"/>
      <c r="C4" s="200"/>
      <c r="D4" s="200"/>
      <c r="E4" s="200"/>
      <c r="F4" s="200"/>
      <c r="G4" s="200"/>
      <c r="H4" s="200"/>
      <c r="I4" s="200"/>
      <c r="J4" s="200"/>
    </row>
    <row r="5" spans="1:12">
      <c r="A5" s="156"/>
      <c r="B5" s="156"/>
      <c r="C5" s="156"/>
      <c r="D5" s="156"/>
      <c r="E5" s="156"/>
      <c r="F5" s="156"/>
      <c r="G5" s="156"/>
      <c r="H5" s="156"/>
      <c r="I5" s="156"/>
      <c r="J5" s="156"/>
    </row>
    <row r="6" spans="1:12" ht="18.75">
      <c r="A6" s="74" t="s">
        <v>3</v>
      </c>
    </row>
    <row r="7" spans="1:12" ht="15.75">
      <c r="A7" s="77" t="s">
        <v>299</v>
      </c>
    </row>
    <row r="9" spans="1:12" ht="15.75">
      <c r="A9" s="73" t="s">
        <v>230</v>
      </c>
    </row>
    <row r="10" spans="1:12">
      <c r="A10" t="s">
        <v>300</v>
      </c>
    </row>
    <row r="12" spans="1:12" ht="15.75">
      <c r="A12" s="73" t="s">
        <v>11</v>
      </c>
    </row>
    <row r="13" spans="1:12">
      <c r="A13" s="96" t="s">
        <v>301</v>
      </c>
    </row>
    <row r="14" spans="1:12">
      <c r="A14" s="186" t="s">
        <v>230</v>
      </c>
      <c r="B14" s="186"/>
      <c r="C14" s="186" t="s">
        <v>49</v>
      </c>
      <c r="D14" s="186"/>
      <c r="E14" s="197" t="s">
        <v>16</v>
      </c>
      <c r="F14" s="199"/>
    </row>
    <row r="15" spans="1:12">
      <c r="A15" s="202" t="s">
        <v>302</v>
      </c>
      <c r="B15" s="202"/>
      <c r="C15" s="194" t="str">
        <f>UPPER(A15)</f>
        <v>LAPTOP</v>
      </c>
      <c r="D15" s="194"/>
      <c r="E15" s="170" t="s">
        <v>303</v>
      </c>
      <c r="F15" s="172"/>
    </row>
    <row r="16" spans="1:12" ht="15" customHeight="1">
      <c r="A16" s="202" t="s">
        <v>304</v>
      </c>
      <c r="B16" s="202"/>
      <c r="C16" s="194" t="str">
        <f>UPPER(A16)</f>
        <v>EXCEL</v>
      </c>
      <c r="D16" s="194"/>
      <c r="E16" s="170" t="s">
        <v>305</v>
      </c>
      <c r="F16" s="172"/>
    </row>
    <row r="17" spans="1:10">
      <c r="A17" s="202" t="s">
        <v>306</v>
      </c>
      <c r="B17" s="202"/>
      <c r="C17" s="194" t="str">
        <f>UPPER(A17)</f>
        <v>SUPERSTORE IS CLOSED NOW</v>
      </c>
      <c r="D17" s="194"/>
      <c r="E17" s="170" t="s">
        <v>307</v>
      </c>
      <c r="F17" s="172"/>
    </row>
    <row r="19" spans="1:10" ht="15.75">
      <c r="A19" s="73" t="s">
        <v>308</v>
      </c>
    </row>
    <row r="20" spans="1:10" ht="15" customHeight="1">
      <c r="A20" s="96" t="s">
        <v>301</v>
      </c>
      <c r="B20" s="144"/>
      <c r="C20" s="144"/>
      <c r="D20" s="144"/>
      <c r="E20" s="144"/>
      <c r="F20" s="144"/>
      <c r="G20" s="144"/>
      <c r="H20" s="144"/>
      <c r="I20" s="144"/>
      <c r="J20" s="144"/>
    </row>
    <row r="21" spans="1:10">
      <c r="A21" s="186" t="s">
        <v>230</v>
      </c>
      <c r="B21" s="186"/>
      <c r="C21" s="197" t="s">
        <v>16</v>
      </c>
      <c r="D21" s="198"/>
      <c r="E21" s="199"/>
    </row>
    <row r="22" spans="1:10">
      <c r="A22" s="202" t="s">
        <v>309</v>
      </c>
      <c r="B22" s="202"/>
      <c r="C22" s="197" t="str">
        <f>UPPER(A22)</f>
        <v>GOOD</v>
      </c>
      <c r="D22" s="198"/>
      <c r="E22" s="199"/>
    </row>
    <row r="23" spans="1:10">
      <c r="A23" s="202" t="s">
        <v>310</v>
      </c>
      <c r="B23" s="202"/>
      <c r="C23" s="197" t="str">
        <f>UPPER(A23)</f>
        <v>HOW ARE YOU?</v>
      </c>
      <c r="D23" s="198"/>
      <c r="E23" s="199"/>
    </row>
    <row r="25" spans="1:10" ht="15.75">
      <c r="A25" s="73" t="s">
        <v>311</v>
      </c>
    </row>
    <row r="26" spans="1:10">
      <c r="A26" t="s">
        <v>312</v>
      </c>
    </row>
    <row r="27" spans="1:10">
      <c r="A27" s="151" t="s">
        <v>113</v>
      </c>
      <c r="B27" s="151" t="s">
        <v>114</v>
      </c>
      <c r="C27" s="186" t="s">
        <v>49</v>
      </c>
      <c r="D27" s="186"/>
    </row>
    <row r="28" spans="1:10">
      <c r="A28" s="152" t="s">
        <v>313</v>
      </c>
      <c r="B28" s="152" t="s">
        <v>314</v>
      </c>
      <c r="C28" s="194" t="b">
        <f>EXACT(UPPER(A28),B28)</f>
        <v>1</v>
      </c>
      <c r="D28" s="194"/>
    </row>
    <row r="29" spans="1:10">
      <c r="A29" s="152" t="s">
        <v>313</v>
      </c>
      <c r="B29" s="152" t="s">
        <v>315</v>
      </c>
      <c r="C29" s="194" t="b">
        <f>EXACT(UPPER(A29),B29)</f>
        <v>0</v>
      </c>
      <c r="D29" s="194"/>
    </row>
    <row r="30" spans="1:10">
      <c r="A30" s="152" t="s">
        <v>316</v>
      </c>
      <c r="B30" s="152" t="s">
        <v>317</v>
      </c>
      <c r="C30" s="194" t="b">
        <f>EXACT(UPPER(A30),B30)</f>
        <v>0</v>
      </c>
      <c r="D30" s="194"/>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15" zoomScale="90" zoomScaleNormal="90" workbookViewId="0">
      <selection activeCell="C28" sqref="C28:D30"/>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318</v>
      </c>
      <c r="B1" s="196"/>
      <c r="C1" s="94"/>
      <c r="D1" s="76"/>
      <c r="E1" s="76"/>
      <c r="F1" s="76"/>
      <c r="G1" s="76"/>
      <c r="H1" s="76"/>
      <c r="I1" s="76"/>
      <c r="J1" s="76"/>
      <c r="K1" s="76"/>
      <c r="L1" s="76"/>
    </row>
    <row r="2" spans="1:12" ht="15.75" thickTop="1"/>
    <row r="3" spans="1:12" ht="18.75">
      <c r="A3" s="74" t="s">
        <v>1</v>
      </c>
    </row>
    <row r="4" spans="1:12">
      <c r="A4" s="200" t="s">
        <v>319</v>
      </c>
      <c r="B4" s="200"/>
      <c r="C4" s="200"/>
      <c r="D4" s="200"/>
      <c r="E4" s="200"/>
      <c r="F4" s="200"/>
      <c r="G4" s="200"/>
      <c r="H4" s="200"/>
      <c r="I4" s="200"/>
      <c r="J4" s="200"/>
    </row>
    <row r="5" spans="1:12">
      <c r="A5" s="156"/>
      <c r="B5" s="156"/>
      <c r="C5" s="156"/>
      <c r="D5" s="156"/>
      <c r="E5" s="156"/>
      <c r="F5" s="156"/>
      <c r="G5" s="156"/>
      <c r="H5" s="156"/>
      <c r="I5" s="156"/>
      <c r="J5" s="156"/>
    </row>
    <row r="6" spans="1:12" ht="18.75">
      <c r="A6" s="74" t="s">
        <v>3</v>
      </c>
    </row>
    <row r="7" spans="1:12" ht="15.75">
      <c r="A7" s="77" t="s">
        <v>320</v>
      </c>
    </row>
    <row r="9" spans="1:12" ht="15.75">
      <c r="A9" s="73" t="s">
        <v>230</v>
      </c>
    </row>
    <row r="10" spans="1:12">
      <c r="A10" t="s">
        <v>321</v>
      </c>
    </row>
    <row r="12" spans="1:12" ht="15.75">
      <c r="A12" s="73" t="s">
        <v>11</v>
      </c>
    </row>
    <row r="13" spans="1:12">
      <c r="A13" s="96" t="s">
        <v>322</v>
      </c>
    </row>
    <row r="14" spans="1:12">
      <c r="A14" s="186" t="s">
        <v>230</v>
      </c>
      <c r="B14" s="186"/>
      <c r="C14" s="186" t="s">
        <v>49</v>
      </c>
      <c r="D14" s="186"/>
      <c r="E14" s="197" t="s">
        <v>16</v>
      </c>
      <c r="F14" s="199"/>
    </row>
    <row r="15" spans="1:12">
      <c r="A15" s="202" t="s">
        <v>302</v>
      </c>
      <c r="B15" s="202"/>
      <c r="C15" s="194" t="str">
        <f>LOWER(A15)</f>
        <v>laptop</v>
      </c>
      <c r="D15" s="194"/>
      <c r="E15" s="170" t="s">
        <v>323</v>
      </c>
      <c r="F15" s="172"/>
    </row>
    <row r="16" spans="1:12" ht="15" customHeight="1">
      <c r="A16" s="202" t="s">
        <v>152</v>
      </c>
      <c r="B16" s="202"/>
      <c r="C16" s="194" t="str">
        <f t="shared" ref="C16:C17" si="0">LOWER(A16)</f>
        <v>excel</v>
      </c>
      <c r="D16" s="194"/>
      <c r="E16" s="170" t="s">
        <v>324</v>
      </c>
      <c r="F16" s="172"/>
    </row>
    <row r="17" spans="1:10">
      <c r="A17" s="202" t="s">
        <v>325</v>
      </c>
      <c r="B17" s="202"/>
      <c r="C17" s="194" t="str">
        <f t="shared" si="0"/>
        <v>superstore is closed now</v>
      </c>
      <c r="D17" s="194"/>
      <c r="E17" s="170" t="s">
        <v>326</v>
      </c>
      <c r="F17" s="172"/>
    </row>
    <row r="19" spans="1:10" ht="15.75">
      <c r="A19" s="73" t="s">
        <v>308</v>
      </c>
    </row>
    <row r="20" spans="1:10" ht="15" customHeight="1">
      <c r="A20" s="96" t="s">
        <v>322</v>
      </c>
      <c r="B20" s="144"/>
      <c r="C20" s="144"/>
      <c r="D20" s="144"/>
      <c r="E20" s="144"/>
      <c r="F20" s="144"/>
      <c r="G20" s="144"/>
      <c r="H20" s="144"/>
      <c r="I20" s="144"/>
      <c r="J20" s="144"/>
    </row>
    <row r="21" spans="1:10">
      <c r="A21" s="186" t="s">
        <v>230</v>
      </c>
      <c r="B21" s="186"/>
      <c r="C21" s="197" t="s">
        <v>16</v>
      </c>
      <c r="D21" s="198"/>
      <c r="E21" s="199"/>
    </row>
    <row r="22" spans="1:10">
      <c r="A22" s="202" t="s">
        <v>327</v>
      </c>
      <c r="B22" s="202"/>
      <c r="C22" s="250" t="s">
        <v>328</v>
      </c>
      <c r="D22" s="198"/>
      <c r="E22" s="199"/>
    </row>
    <row r="23" spans="1:10">
      <c r="A23" s="202" t="s">
        <v>329</v>
      </c>
      <c r="B23" s="202"/>
      <c r="C23" s="250" t="s">
        <v>330</v>
      </c>
      <c r="D23" s="198"/>
      <c r="E23" s="199"/>
    </row>
    <row r="25" spans="1:10" ht="15.75">
      <c r="A25" s="73" t="s">
        <v>311</v>
      </c>
    </row>
    <row r="26" spans="1:10">
      <c r="A26" t="s">
        <v>331</v>
      </c>
    </row>
    <row r="27" spans="1:10">
      <c r="A27" s="151" t="s">
        <v>113</v>
      </c>
      <c r="B27" s="151" t="s">
        <v>114</v>
      </c>
      <c r="C27" s="186" t="s">
        <v>49</v>
      </c>
      <c r="D27" s="186"/>
    </row>
    <row r="28" spans="1:10">
      <c r="A28" s="152" t="s">
        <v>314</v>
      </c>
      <c r="B28" s="152" t="s">
        <v>313</v>
      </c>
      <c r="C28" s="186" t="b">
        <f>EXACT(LOWER(A28),B28)</f>
        <v>1</v>
      </c>
      <c r="D28" s="186"/>
    </row>
    <row r="29" spans="1:10">
      <c r="A29" s="152" t="s">
        <v>314</v>
      </c>
      <c r="B29" s="152" t="s">
        <v>332</v>
      </c>
      <c r="C29" s="186" t="b">
        <f t="shared" ref="C29:C30" si="1">EXACT(LOWER(A29),B29)</f>
        <v>0</v>
      </c>
      <c r="D29" s="186"/>
    </row>
    <row r="30" spans="1:10">
      <c r="A30" s="152" t="s">
        <v>317</v>
      </c>
      <c r="B30" s="152" t="s">
        <v>316</v>
      </c>
      <c r="C30" s="186" t="b">
        <f t="shared" si="1"/>
        <v>0</v>
      </c>
      <c r="D30" s="186"/>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topLeftCell="A14" zoomScale="90" zoomScaleNormal="90" workbookViewId="0">
      <selection activeCell="C26" sqref="C26"/>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333</v>
      </c>
      <c r="B1" s="196"/>
      <c r="C1" s="94"/>
      <c r="D1" s="76"/>
      <c r="E1" s="76"/>
      <c r="F1" s="76"/>
      <c r="G1" s="76"/>
      <c r="H1" s="76"/>
      <c r="I1" s="76"/>
      <c r="J1" s="76"/>
      <c r="K1" s="76"/>
      <c r="L1" s="76"/>
    </row>
    <row r="2" spans="1:12" ht="15.75" thickTop="1"/>
    <row r="3" spans="1:12" ht="18.75">
      <c r="A3" s="74" t="s">
        <v>1</v>
      </c>
    </row>
    <row r="4" spans="1:12" ht="15" customHeight="1">
      <c r="A4" s="200" t="s">
        <v>334</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335</v>
      </c>
    </row>
    <row r="10" spans="1:12" ht="15.75">
      <c r="A10" s="73" t="s">
        <v>230</v>
      </c>
    </row>
    <row r="11" spans="1:12">
      <c r="A11" t="s">
        <v>336</v>
      </c>
    </row>
    <row r="13" spans="1:12" ht="15.75">
      <c r="A13" s="73" t="s">
        <v>11</v>
      </c>
    </row>
    <row r="14" spans="1:12">
      <c r="A14" s="96" t="s">
        <v>322</v>
      </c>
    </row>
    <row r="15" spans="1:12">
      <c r="A15" s="186" t="s">
        <v>230</v>
      </c>
      <c r="B15" s="186"/>
      <c r="C15" s="186" t="s">
        <v>49</v>
      </c>
      <c r="D15" s="186"/>
      <c r="E15" s="197" t="s">
        <v>16</v>
      </c>
      <c r="F15" s="199"/>
    </row>
    <row r="16" spans="1:12">
      <c r="A16" s="202" t="s">
        <v>302</v>
      </c>
      <c r="B16" s="202"/>
      <c r="C16" s="194">
        <f>LEN(A16)</f>
        <v>6</v>
      </c>
      <c r="D16" s="194"/>
      <c r="E16" s="170" t="s">
        <v>337</v>
      </c>
      <c r="F16" s="172"/>
    </row>
    <row r="17" spans="1:10" ht="15" customHeight="1">
      <c r="A17" s="202" t="s">
        <v>338</v>
      </c>
      <c r="B17" s="202"/>
      <c r="C17" s="194">
        <f>LEN(A17)</f>
        <v>6</v>
      </c>
      <c r="D17" s="194"/>
      <c r="E17" s="170" t="s">
        <v>339</v>
      </c>
      <c r="F17" s="172"/>
    </row>
    <row r="18" spans="1:10">
      <c r="A18" s="202" t="s">
        <v>340</v>
      </c>
      <c r="B18" s="202"/>
      <c r="C18" s="194">
        <f>LEN(A18)</f>
        <v>22</v>
      </c>
      <c r="D18" s="194"/>
      <c r="E18" s="170" t="s">
        <v>341</v>
      </c>
      <c r="F18" s="172"/>
    </row>
    <row r="19" spans="1:10">
      <c r="A19" s="202">
        <v>90</v>
      </c>
      <c r="B19" s="202"/>
      <c r="C19" s="194">
        <f>LEN(A19)</f>
        <v>2</v>
      </c>
      <c r="D19" s="194"/>
      <c r="E19" s="170" t="s">
        <v>342</v>
      </c>
      <c r="F19" s="172"/>
    </row>
    <row r="20" spans="1:10">
      <c r="A20" s="97"/>
      <c r="B20" s="97"/>
      <c r="C20" s="97"/>
      <c r="D20" s="97"/>
    </row>
    <row r="21" spans="1:10" ht="15.75">
      <c r="A21" s="73" t="s">
        <v>308</v>
      </c>
    </row>
    <row r="22" spans="1:10" ht="15" customHeight="1">
      <c r="A22" s="96" t="s">
        <v>343</v>
      </c>
      <c r="B22" s="144"/>
      <c r="C22" s="144"/>
      <c r="D22" s="144"/>
      <c r="E22" s="144"/>
      <c r="F22" s="144"/>
      <c r="G22" s="144"/>
      <c r="H22" s="144"/>
      <c r="I22" s="144"/>
      <c r="J22" s="144"/>
    </row>
    <row r="23" spans="1:10">
      <c r="A23" s="186" t="s">
        <v>230</v>
      </c>
      <c r="B23" s="186"/>
      <c r="C23" s="197" t="s">
        <v>16</v>
      </c>
      <c r="D23" s="198"/>
      <c r="E23" s="199"/>
    </row>
    <row r="24" spans="1:10">
      <c r="A24" s="202" t="s">
        <v>344</v>
      </c>
      <c r="B24" s="202"/>
      <c r="C24" s="250" t="s">
        <v>345</v>
      </c>
      <c r="D24" s="198"/>
      <c r="E24" s="199"/>
    </row>
    <row r="25" spans="1:10">
      <c r="A25" s="202" t="s">
        <v>346</v>
      </c>
      <c r="B25" s="202"/>
      <c r="C25" s="250" t="s">
        <v>347</v>
      </c>
      <c r="D25" s="198"/>
      <c r="E25" s="199"/>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23" zoomScale="90" zoomScaleNormal="90" workbookViewId="0">
      <selection activeCell="E36" sqref="E36"/>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348</v>
      </c>
      <c r="B1" s="196"/>
      <c r="C1" s="94"/>
      <c r="D1" s="76"/>
      <c r="E1" s="76"/>
      <c r="F1" s="76"/>
      <c r="G1" s="76"/>
      <c r="H1" s="76"/>
      <c r="I1" s="76"/>
      <c r="J1" s="76"/>
      <c r="K1" s="76"/>
      <c r="L1" s="76"/>
    </row>
    <row r="2" spans="1:12" ht="15.75" thickTop="1"/>
    <row r="3" spans="1:12" ht="18.75">
      <c r="A3" s="74" t="s">
        <v>1</v>
      </c>
    </row>
    <row r="4" spans="1:12" ht="15" customHeight="1">
      <c r="A4" s="200" t="s">
        <v>349</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350</v>
      </c>
    </row>
    <row r="10" spans="1:12" ht="15.75">
      <c r="A10" s="73" t="s">
        <v>230</v>
      </c>
    </row>
    <row r="11" spans="1:12">
      <c r="A11" t="s">
        <v>351</v>
      </c>
    </row>
    <row r="13" spans="1:12" ht="15.75">
      <c r="A13" s="73" t="s">
        <v>352</v>
      </c>
    </row>
    <row r="14" spans="1:12">
      <c r="A14" t="s">
        <v>353</v>
      </c>
    </row>
    <row r="16" spans="1:12" ht="15.75">
      <c r="A16" s="73" t="s">
        <v>11</v>
      </c>
    </row>
    <row r="17" spans="1:10">
      <c r="A17" s="96" t="s">
        <v>354</v>
      </c>
    </row>
    <row r="18" spans="1:10">
      <c r="A18" s="186" t="s">
        <v>230</v>
      </c>
      <c r="B18" s="186"/>
      <c r="C18" s="186" t="s">
        <v>49</v>
      </c>
      <c r="D18" s="186"/>
      <c r="E18" s="197" t="s">
        <v>16</v>
      </c>
      <c r="F18" s="199"/>
    </row>
    <row r="19" spans="1:10">
      <c r="A19" s="202" t="s">
        <v>302</v>
      </c>
      <c r="B19" s="202"/>
      <c r="C19" s="194" t="str">
        <f>LEFT(A19,5)</f>
        <v>Lapto</v>
      </c>
      <c r="D19" s="194"/>
      <c r="E19" s="170" t="s">
        <v>355</v>
      </c>
      <c r="F19" s="172"/>
    </row>
    <row r="20" spans="1:10" ht="15" customHeight="1">
      <c r="A20" s="202" t="s">
        <v>356</v>
      </c>
      <c r="B20" s="202"/>
      <c r="C20" s="194" t="str">
        <f>LEFT(A20,8)</f>
        <v>EXCEL IS</v>
      </c>
      <c r="D20" s="194"/>
      <c r="E20" s="170" t="s">
        <v>357</v>
      </c>
      <c r="F20" s="172"/>
    </row>
    <row r="21" spans="1:10">
      <c r="A21" s="202" t="s">
        <v>340</v>
      </c>
      <c r="B21" s="202"/>
      <c r="C21" s="194" t="str">
        <f>LEFT(A21,15)</f>
        <v>SUPERSTORE IS C</v>
      </c>
      <c r="D21" s="194"/>
      <c r="E21" s="170" t="s">
        <v>358</v>
      </c>
      <c r="F21" s="172"/>
    </row>
    <row r="22" spans="1:10">
      <c r="A22" s="202">
        <v>90</v>
      </c>
      <c r="B22" s="202"/>
      <c r="C22" s="194" t="str">
        <f>LEFT(A22,1)</f>
        <v>9</v>
      </c>
      <c r="D22" s="194"/>
      <c r="E22" s="170" t="s">
        <v>359</v>
      </c>
      <c r="F22" s="172"/>
    </row>
    <row r="23" spans="1:10">
      <c r="A23" s="202" t="s">
        <v>340</v>
      </c>
      <c r="B23" s="202"/>
      <c r="C23" s="194" t="str">
        <f>LEFT(A23,LEN(A23)-7)</f>
        <v>SUPERSTORE IS C</v>
      </c>
      <c r="D23" s="194"/>
      <c r="E23" s="170" t="s">
        <v>360</v>
      </c>
      <c r="F23" s="172"/>
    </row>
    <row r="24" spans="1:10">
      <c r="A24" s="97"/>
      <c r="B24" s="97"/>
      <c r="C24" s="97"/>
      <c r="D24" s="97"/>
    </row>
    <row r="25" spans="1:10" ht="15.75">
      <c r="A25" s="73" t="s">
        <v>308</v>
      </c>
    </row>
    <row r="26" spans="1:10" ht="15" customHeight="1">
      <c r="A26" s="96" t="s">
        <v>361</v>
      </c>
      <c r="B26" s="144"/>
      <c r="C26" s="144"/>
      <c r="D26" s="144"/>
      <c r="E26" s="144"/>
      <c r="F26" s="144"/>
      <c r="G26" s="144"/>
      <c r="H26" s="144"/>
      <c r="I26" s="144"/>
      <c r="J26" s="144"/>
    </row>
    <row r="27" spans="1:10">
      <c r="A27" s="186" t="s">
        <v>230</v>
      </c>
      <c r="B27" s="186"/>
      <c r="C27" s="203" t="s">
        <v>49</v>
      </c>
      <c r="D27" s="203"/>
      <c r="E27" s="197" t="s">
        <v>16</v>
      </c>
      <c r="F27" s="198"/>
      <c r="G27" s="199"/>
    </row>
    <row r="28" spans="1:10">
      <c r="A28" s="202" t="s">
        <v>344</v>
      </c>
      <c r="B28" s="202"/>
      <c r="C28" s="194" t="s">
        <v>362</v>
      </c>
      <c r="D28" s="194"/>
      <c r="E28" s="250" t="s">
        <v>363</v>
      </c>
      <c r="F28" s="198"/>
      <c r="G28" s="199"/>
    </row>
    <row r="29" spans="1:10">
      <c r="A29" s="202" t="s">
        <v>346</v>
      </c>
      <c r="B29" s="202"/>
      <c r="C29" s="194" t="s">
        <v>364</v>
      </c>
      <c r="D29" s="194"/>
      <c r="E29" s="250" t="s">
        <v>365</v>
      </c>
      <c r="F29" s="198"/>
      <c r="G29" s="199"/>
    </row>
    <row r="31" spans="1:10" ht="15.75">
      <c r="A31" s="73" t="s">
        <v>311</v>
      </c>
    </row>
    <row r="32" spans="1:10" ht="15" customHeight="1">
      <c r="A32" s="96" t="s">
        <v>366</v>
      </c>
      <c r="B32" s="144"/>
      <c r="C32" s="144"/>
      <c r="D32" s="144"/>
      <c r="E32" s="144"/>
      <c r="F32" s="144"/>
      <c r="G32" s="144"/>
      <c r="H32" s="144"/>
      <c r="I32" s="144"/>
      <c r="J32" s="144"/>
    </row>
    <row r="33" spans="1:7">
      <c r="A33" s="186" t="s">
        <v>230</v>
      </c>
      <c r="B33" s="186"/>
      <c r="C33" s="203" t="s">
        <v>49</v>
      </c>
      <c r="D33" s="203"/>
      <c r="E33" s="197" t="s">
        <v>16</v>
      </c>
      <c r="F33" s="198"/>
      <c r="G33" s="199"/>
    </row>
    <row r="34" spans="1:7">
      <c r="A34" s="202" t="s">
        <v>344</v>
      </c>
      <c r="B34" s="202"/>
      <c r="C34" s="194" t="s">
        <v>362</v>
      </c>
      <c r="D34" s="194"/>
      <c r="E34" s="250" t="s">
        <v>367</v>
      </c>
      <c r="F34" s="198"/>
      <c r="G34" s="199"/>
    </row>
    <row r="35" spans="1:7">
      <c r="A35" s="202" t="s">
        <v>346</v>
      </c>
      <c r="B35" s="202"/>
      <c r="C35" s="194" t="s">
        <v>364</v>
      </c>
      <c r="D35" s="194"/>
      <c r="E35" s="250" t="s">
        <v>368</v>
      </c>
      <c r="F35" s="198"/>
      <c r="G35" s="199"/>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21" zoomScale="90" zoomScaleNormal="90" workbookViewId="0">
      <selection activeCell="E36" sqref="E36"/>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369</v>
      </c>
      <c r="B1" s="196"/>
      <c r="C1" s="94"/>
      <c r="D1" s="76"/>
      <c r="E1" s="76"/>
      <c r="F1" s="76"/>
      <c r="G1" s="76"/>
      <c r="H1" s="76"/>
      <c r="I1" s="76"/>
      <c r="J1" s="76"/>
      <c r="K1" s="76"/>
      <c r="L1" s="76"/>
    </row>
    <row r="2" spans="1:12" ht="15.75" thickTop="1"/>
    <row r="3" spans="1:12" ht="18.75">
      <c r="A3" s="74" t="s">
        <v>1</v>
      </c>
    </row>
    <row r="4" spans="1:12" ht="15" customHeight="1">
      <c r="A4" s="200" t="s">
        <v>370</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371</v>
      </c>
    </row>
    <row r="10" spans="1:12" ht="15.75">
      <c r="A10" s="73" t="s">
        <v>230</v>
      </c>
    </row>
    <row r="11" spans="1:12">
      <c r="A11" t="s">
        <v>351</v>
      </c>
    </row>
    <row r="13" spans="1:12" ht="15.75">
      <c r="A13" s="73" t="s">
        <v>352</v>
      </c>
    </row>
    <row r="14" spans="1:12">
      <c r="A14" t="s">
        <v>353</v>
      </c>
    </row>
    <row r="16" spans="1:12" ht="15.75">
      <c r="A16" s="73" t="s">
        <v>11</v>
      </c>
    </row>
    <row r="17" spans="1:10">
      <c r="A17" s="96" t="s">
        <v>372</v>
      </c>
    </row>
    <row r="18" spans="1:10">
      <c r="A18" s="186" t="s">
        <v>230</v>
      </c>
      <c r="B18" s="186"/>
      <c r="C18" s="186" t="s">
        <v>49</v>
      </c>
      <c r="D18" s="186"/>
      <c r="E18" s="197" t="s">
        <v>16</v>
      </c>
      <c r="F18" s="199"/>
    </row>
    <row r="19" spans="1:10">
      <c r="A19" s="202" t="s">
        <v>302</v>
      </c>
      <c r="B19" s="202"/>
      <c r="C19" s="194" t="str">
        <f>RIGHT(A19,3)</f>
        <v>top</v>
      </c>
      <c r="D19" s="194"/>
      <c r="E19" s="170" t="s">
        <v>373</v>
      </c>
      <c r="F19" s="172"/>
    </row>
    <row r="20" spans="1:10" ht="15" customHeight="1">
      <c r="A20" s="202" t="s">
        <v>356</v>
      </c>
      <c r="B20" s="202"/>
      <c r="C20" s="194" t="str">
        <f>RIGHT(A20,4)</f>
        <v xml:space="preserve"> WOW</v>
      </c>
      <c r="D20" s="194"/>
      <c r="E20" s="170" t="s">
        <v>374</v>
      </c>
      <c r="F20" s="172"/>
    </row>
    <row r="21" spans="1:10">
      <c r="A21" s="202" t="s">
        <v>340</v>
      </c>
      <c r="B21" s="202"/>
      <c r="C21" s="194" t="str">
        <f>RIGHT(A21,6)</f>
        <v>OSED ;</v>
      </c>
      <c r="D21" s="194"/>
      <c r="E21" s="170" t="s">
        <v>375</v>
      </c>
      <c r="F21" s="172"/>
    </row>
    <row r="22" spans="1:10">
      <c r="A22" s="202">
        <v>90</v>
      </c>
      <c r="B22" s="202"/>
      <c r="C22" s="194" t="str">
        <f>RIGHT(A22,1)</f>
        <v>0</v>
      </c>
      <c r="D22" s="194"/>
      <c r="E22" s="170" t="s">
        <v>376</v>
      </c>
      <c r="F22" s="172"/>
    </row>
    <row r="23" spans="1:10">
      <c r="A23" s="202" t="s">
        <v>340</v>
      </c>
      <c r="B23" s="202"/>
      <c r="C23" s="194" t="str">
        <f>RIGHT(A23,LEN(A23)-16)</f>
        <v>OSED ;</v>
      </c>
      <c r="D23" s="194"/>
      <c r="E23" s="170" t="s">
        <v>377</v>
      </c>
      <c r="F23" s="172"/>
    </row>
    <row r="24" spans="1:10">
      <c r="A24" s="97"/>
      <c r="B24" s="97"/>
      <c r="C24" s="97"/>
      <c r="D24" s="97"/>
    </row>
    <row r="25" spans="1:10" ht="15.75">
      <c r="A25" s="73" t="s">
        <v>308</v>
      </c>
    </row>
    <row r="26" spans="1:10" ht="15" customHeight="1">
      <c r="A26" s="96" t="s">
        <v>378</v>
      </c>
      <c r="B26" s="144"/>
      <c r="C26" s="144"/>
      <c r="D26" s="144"/>
      <c r="E26" s="144"/>
      <c r="F26" s="144"/>
      <c r="G26" s="144"/>
      <c r="H26" s="144"/>
      <c r="I26" s="144"/>
      <c r="J26" s="144"/>
    </row>
    <row r="27" spans="1:10">
      <c r="A27" s="186" t="s">
        <v>230</v>
      </c>
      <c r="B27" s="186"/>
      <c r="C27" s="203" t="s">
        <v>49</v>
      </c>
      <c r="D27" s="203"/>
      <c r="E27" s="197" t="s">
        <v>16</v>
      </c>
      <c r="F27" s="198"/>
      <c r="G27" s="199"/>
    </row>
    <row r="28" spans="1:10">
      <c r="A28" s="202" t="s">
        <v>344</v>
      </c>
      <c r="B28" s="202"/>
      <c r="C28" s="194" t="s">
        <v>379</v>
      </c>
      <c r="D28" s="194"/>
      <c r="E28" s="250" t="s">
        <v>380</v>
      </c>
      <c r="F28" s="198"/>
      <c r="G28" s="199"/>
    </row>
    <row r="29" spans="1:10">
      <c r="A29" s="202" t="s">
        <v>346</v>
      </c>
      <c r="B29" s="202"/>
      <c r="C29" s="194" t="s">
        <v>381</v>
      </c>
      <c r="D29" s="194"/>
      <c r="E29" s="250" t="s">
        <v>382</v>
      </c>
      <c r="F29" s="198"/>
      <c r="G29" s="199"/>
    </row>
    <row r="31" spans="1:10" ht="15.75">
      <c r="A31" s="73" t="s">
        <v>311</v>
      </c>
    </row>
    <row r="32" spans="1:10" ht="15" customHeight="1">
      <c r="A32" s="96" t="s">
        <v>383</v>
      </c>
      <c r="B32" s="144"/>
      <c r="C32" s="144"/>
      <c r="D32" s="144"/>
      <c r="E32" s="144"/>
      <c r="F32" s="144"/>
      <c r="G32" s="144"/>
      <c r="H32" s="144"/>
      <c r="I32" s="144"/>
      <c r="J32" s="144"/>
    </row>
    <row r="33" spans="1:7">
      <c r="A33" s="186" t="s">
        <v>230</v>
      </c>
      <c r="B33" s="186"/>
      <c r="C33" s="203" t="s">
        <v>49</v>
      </c>
      <c r="D33" s="203"/>
      <c r="E33" s="197" t="s">
        <v>16</v>
      </c>
      <c r="F33" s="198"/>
      <c r="G33" s="199"/>
    </row>
    <row r="34" spans="1:7">
      <c r="A34" s="202" t="s">
        <v>344</v>
      </c>
      <c r="B34" s="202"/>
      <c r="C34" s="194" t="s">
        <v>384</v>
      </c>
      <c r="D34" s="194"/>
      <c r="E34" s="250" t="s">
        <v>385</v>
      </c>
      <c r="F34" s="198"/>
      <c r="G34" s="199"/>
    </row>
    <row r="35" spans="1:7">
      <c r="A35" s="202" t="s">
        <v>346</v>
      </c>
      <c r="B35" s="202"/>
      <c r="C35" s="194" t="s">
        <v>386</v>
      </c>
      <c r="D35" s="194"/>
      <c r="E35" s="250" t="s">
        <v>387</v>
      </c>
      <c r="F35" s="198"/>
      <c r="G35" s="199"/>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20" zoomScale="90" zoomScaleNormal="90" workbookViewId="0">
      <selection activeCell="E34" sqref="E34"/>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96" t="s">
        <v>388</v>
      </c>
      <c r="B1" s="196"/>
      <c r="C1" s="94"/>
      <c r="D1" s="76"/>
      <c r="E1" s="76"/>
      <c r="F1" s="76"/>
      <c r="G1" s="76"/>
      <c r="H1" s="76"/>
      <c r="I1" s="76"/>
      <c r="J1" s="76"/>
      <c r="K1" s="76"/>
      <c r="L1" s="76"/>
    </row>
    <row r="2" spans="1:12" ht="15.75" thickTop="1"/>
    <row r="3" spans="1:12" ht="18.75">
      <c r="A3" s="74" t="s">
        <v>1</v>
      </c>
    </row>
    <row r="4" spans="1:12" ht="15" customHeight="1">
      <c r="A4" s="200" t="s">
        <v>389</v>
      </c>
      <c r="B4" s="200"/>
      <c r="C4" s="200"/>
      <c r="D4" s="200"/>
      <c r="E4" s="200"/>
      <c r="F4" s="200"/>
      <c r="G4" s="200"/>
      <c r="H4" s="200"/>
      <c r="I4" s="200"/>
      <c r="J4" s="200"/>
    </row>
    <row r="5" spans="1:12">
      <c r="A5" s="200"/>
      <c r="B5" s="200"/>
      <c r="C5" s="200"/>
      <c r="D5" s="200"/>
      <c r="E5" s="200"/>
      <c r="F5" s="200"/>
      <c r="G5" s="200"/>
      <c r="H5" s="200"/>
      <c r="I5" s="200"/>
      <c r="J5" s="200"/>
    </row>
    <row r="6" spans="1:12">
      <c r="A6" s="156"/>
      <c r="B6" s="156"/>
      <c r="C6" s="156"/>
      <c r="D6" s="156"/>
      <c r="E6" s="156"/>
      <c r="F6" s="156"/>
      <c r="G6" s="156"/>
      <c r="H6" s="156"/>
      <c r="I6" s="156"/>
      <c r="J6" s="156"/>
    </row>
    <row r="7" spans="1:12" ht="18.75">
      <c r="A7" s="74" t="s">
        <v>3</v>
      </c>
    </row>
    <row r="8" spans="1:12" ht="15.75">
      <c r="A8" s="77" t="s">
        <v>390</v>
      </c>
    </row>
    <row r="10" spans="1:12" ht="15.75">
      <c r="A10" s="73" t="s">
        <v>230</v>
      </c>
    </row>
    <row r="11" spans="1:12">
      <c r="A11" t="s">
        <v>351</v>
      </c>
    </row>
    <row r="13" spans="1:12" ht="15.75">
      <c r="A13" s="73" t="s">
        <v>391</v>
      </c>
    </row>
    <row r="14" spans="1:12">
      <c r="A14" t="s">
        <v>392</v>
      </c>
    </row>
    <row r="16" spans="1:12" ht="15.75">
      <c r="A16" s="73" t="s">
        <v>352</v>
      </c>
    </row>
    <row r="17" spans="1:10">
      <c r="A17" t="s">
        <v>393</v>
      </c>
    </row>
    <row r="19" spans="1:10" ht="15.75">
      <c r="A19" s="73" t="s">
        <v>11</v>
      </c>
    </row>
    <row r="20" spans="1:10">
      <c r="A20" s="96" t="s">
        <v>372</v>
      </c>
    </row>
    <row r="21" spans="1:10">
      <c r="A21" s="186" t="s">
        <v>230</v>
      </c>
      <c r="B21" s="186"/>
      <c r="C21" s="186" t="s">
        <v>49</v>
      </c>
      <c r="D21" s="186"/>
      <c r="E21" s="197" t="s">
        <v>16</v>
      </c>
      <c r="F21" s="199"/>
    </row>
    <row r="22" spans="1:10">
      <c r="A22" s="202" t="s">
        <v>394</v>
      </c>
      <c r="B22" s="202"/>
      <c r="C22" s="194" t="str">
        <f>MID(A22,4,6)</f>
        <v>top re</v>
      </c>
      <c r="D22" s="194"/>
      <c r="E22" s="170" t="s">
        <v>395</v>
      </c>
      <c r="F22" s="172"/>
    </row>
    <row r="23" spans="1:10" ht="15" customHeight="1">
      <c r="A23" s="202" t="s">
        <v>356</v>
      </c>
      <c r="B23" s="202"/>
      <c r="C23" s="194" t="str">
        <f>MID(A23,2,9)</f>
        <v>XCEL IS W</v>
      </c>
      <c r="D23" s="194"/>
      <c r="E23" s="170" t="s">
        <v>396</v>
      </c>
      <c r="F23" s="172"/>
    </row>
    <row r="24" spans="1:10">
      <c r="A24" s="202" t="s">
        <v>340</v>
      </c>
      <c r="B24" s="202"/>
      <c r="C24" s="194" t="str">
        <f>MID(A24,10,9)</f>
        <v>E IS CLOS</v>
      </c>
      <c r="D24" s="194"/>
      <c r="E24" s="170" t="s">
        <v>397</v>
      </c>
      <c r="F24" s="172"/>
    </row>
    <row r="25" spans="1:10">
      <c r="A25" s="202" t="s">
        <v>398</v>
      </c>
      <c r="B25" s="202"/>
      <c r="C25" s="194" t="str">
        <f>MID(A25,2,6)</f>
        <v>0 EMPL</v>
      </c>
      <c r="D25" s="194"/>
      <c r="E25" s="170" t="s">
        <v>399</v>
      </c>
      <c r="F25" s="172"/>
    </row>
    <row r="26" spans="1:10">
      <c r="A26" s="97"/>
      <c r="B26" s="97"/>
      <c r="C26" s="97"/>
      <c r="D26" s="97"/>
    </row>
    <row r="27" spans="1:10" ht="15.75">
      <c r="A27" s="73" t="s">
        <v>27</v>
      </c>
    </row>
    <row r="28" spans="1:10" ht="15" customHeight="1">
      <c r="A28" s="96" t="s">
        <v>400</v>
      </c>
      <c r="B28" s="144"/>
      <c r="C28" s="144"/>
      <c r="D28" s="144"/>
      <c r="E28" s="144"/>
      <c r="F28" s="144"/>
      <c r="G28" s="144"/>
      <c r="H28" s="144"/>
      <c r="I28" s="144"/>
      <c r="J28" s="144"/>
    </row>
    <row r="29" spans="1:10">
      <c r="A29" s="186" t="s">
        <v>230</v>
      </c>
      <c r="B29" s="186"/>
      <c r="C29" s="203" t="s">
        <v>49</v>
      </c>
      <c r="D29" s="203"/>
      <c r="E29" s="197" t="s">
        <v>16</v>
      </c>
      <c r="F29" s="198"/>
      <c r="G29" s="199"/>
    </row>
    <row r="30" spans="1:10">
      <c r="A30" s="202" t="s">
        <v>344</v>
      </c>
      <c r="B30" s="202"/>
      <c r="C30" s="194" t="s">
        <v>401</v>
      </c>
      <c r="D30" s="194"/>
      <c r="E30" s="250" t="s">
        <v>402</v>
      </c>
      <c r="F30" s="198"/>
      <c r="G30" s="199"/>
    </row>
    <row r="31" spans="1:10">
      <c r="A31" s="202" t="s">
        <v>346</v>
      </c>
      <c r="B31" s="202"/>
      <c r="C31" s="194" t="s">
        <v>403</v>
      </c>
      <c r="D31" s="194"/>
      <c r="E31" s="250" t="s">
        <v>404</v>
      </c>
      <c r="F31" s="198"/>
      <c r="G31" s="199"/>
    </row>
    <row r="32" spans="1:10">
      <c r="A32" s="202" t="s">
        <v>405</v>
      </c>
      <c r="B32" s="202"/>
      <c r="C32" s="194" t="s">
        <v>406</v>
      </c>
      <c r="D32" s="194"/>
      <c r="E32" s="250" t="s">
        <v>407</v>
      </c>
      <c r="F32" s="198"/>
      <c r="G32" s="199"/>
    </row>
    <row r="33" spans="1:7">
      <c r="A33" s="202" t="s">
        <v>408</v>
      </c>
      <c r="B33" s="202"/>
      <c r="C33" s="194" t="s">
        <v>409</v>
      </c>
      <c r="D33" s="194"/>
      <c r="E33" s="250" t="s">
        <v>410</v>
      </c>
      <c r="F33" s="198"/>
      <c r="G33" s="199"/>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27" zoomScale="90" zoomScaleNormal="90" workbookViewId="0">
      <selection activeCell="E38" sqref="E38:E41"/>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96" t="s">
        <v>411</v>
      </c>
      <c r="B1" s="196"/>
      <c r="C1" s="94"/>
      <c r="D1" s="76"/>
      <c r="E1" s="76"/>
      <c r="F1" s="76"/>
      <c r="G1" s="76"/>
      <c r="H1" s="76"/>
      <c r="I1" s="76"/>
      <c r="J1" s="76"/>
      <c r="K1" s="76"/>
      <c r="L1" s="76"/>
    </row>
    <row r="2" spans="1:12" ht="15.75" thickTop="1"/>
    <row r="3" spans="1:12" ht="18.75">
      <c r="A3" s="74" t="s">
        <v>1</v>
      </c>
    </row>
    <row r="4" spans="1:12" ht="15" customHeight="1">
      <c r="A4" s="200" t="s">
        <v>412</v>
      </c>
      <c r="B4" s="200"/>
      <c r="C4" s="200"/>
      <c r="D4" s="200"/>
      <c r="E4" s="200"/>
      <c r="F4" s="200"/>
      <c r="G4" s="200"/>
      <c r="H4" s="200"/>
      <c r="I4" s="200"/>
      <c r="J4" s="200"/>
    </row>
    <row r="5" spans="1:12">
      <c r="A5" s="200"/>
      <c r="B5" s="200"/>
      <c r="C5" s="200"/>
      <c r="D5" s="200"/>
      <c r="E5" s="200"/>
      <c r="F5" s="200"/>
      <c r="G5" s="200"/>
      <c r="H5" s="200"/>
      <c r="I5" s="200"/>
      <c r="J5" s="200"/>
    </row>
    <row r="6" spans="1:12">
      <c r="A6" s="98"/>
      <c r="B6" s="156"/>
      <c r="C6" s="156"/>
      <c r="D6" s="156"/>
      <c r="E6" s="156"/>
      <c r="F6" s="156"/>
      <c r="G6" s="156"/>
      <c r="H6" s="99"/>
      <c r="I6" s="99"/>
      <c r="J6" s="156"/>
    </row>
    <row r="7" spans="1:12" ht="18.75">
      <c r="A7" s="74" t="s">
        <v>3</v>
      </c>
    </row>
    <row r="8" spans="1:12" ht="15.75">
      <c r="A8" s="77" t="s">
        <v>413</v>
      </c>
    </row>
    <row r="10" spans="1:12" ht="15.75">
      <c r="A10" s="73" t="s">
        <v>414</v>
      </c>
    </row>
    <row r="11" spans="1:12">
      <c r="A11" t="s">
        <v>415</v>
      </c>
    </row>
    <row r="13" spans="1:12" ht="15.75">
      <c r="A13" s="73" t="s">
        <v>416</v>
      </c>
    </row>
    <row r="14" spans="1:12">
      <c r="A14" t="s">
        <v>417</v>
      </c>
    </row>
    <row r="16" spans="1:12" ht="15.75">
      <c r="A16" s="73" t="s">
        <v>418</v>
      </c>
    </row>
    <row r="17" spans="1:7">
      <c r="A17" t="s">
        <v>419</v>
      </c>
    </row>
    <row r="19" spans="1:7" ht="15.75">
      <c r="A19" s="73" t="s">
        <v>11</v>
      </c>
    </row>
    <row r="20" spans="1:7">
      <c r="A20" s="96" t="s">
        <v>420</v>
      </c>
    </row>
    <row r="21" spans="1:7">
      <c r="A21" s="151" t="s">
        <v>414</v>
      </c>
      <c r="B21" s="151" t="s">
        <v>416</v>
      </c>
      <c r="C21" s="151" t="s">
        <v>418</v>
      </c>
      <c r="D21" s="151" t="s">
        <v>49</v>
      </c>
      <c r="E21" s="197" t="s">
        <v>16</v>
      </c>
      <c r="F21" s="198"/>
      <c r="G21" s="199"/>
    </row>
    <row r="22" spans="1:7">
      <c r="A22" s="158">
        <v>2017</v>
      </c>
      <c r="B22" s="158">
        <v>12</v>
      </c>
      <c r="C22" s="152">
        <v>31</v>
      </c>
      <c r="D22" s="162">
        <f>DATE(A22,B22,C22)</f>
        <v>43100</v>
      </c>
      <c r="E22" s="170" t="s">
        <v>421</v>
      </c>
      <c r="F22" s="171"/>
      <c r="G22" s="172"/>
    </row>
    <row r="23" spans="1:7" ht="15" customHeight="1">
      <c r="A23" s="158">
        <v>2016</v>
      </c>
      <c r="B23" s="158">
        <v>11</v>
      </c>
      <c r="C23" s="152">
        <v>30</v>
      </c>
      <c r="D23" s="162">
        <f t="shared" ref="D23:D25" si="0">DATE(A23,B23,C23)</f>
        <v>42704</v>
      </c>
      <c r="E23" s="170" t="s">
        <v>422</v>
      </c>
      <c r="F23" s="171"/>
      <c r="G23" s="172"/>
    </row>
    <row r="24" spans="1:7">
      <c r="A24" s="158">
        <v>2015</v>
      </c>
      <c r="B24" s="158">
        <v>3</v>
      </c>
      <c r="C24" s="152">
        <v>1</v>
      </c>
      <c r="D24" s="162">
        <f t="shared" si="0"/>
        <v>42064</v>
      </c>
      <c r="E24" s="170" t="s">
        <v>423</v>
      </c>
      <c r="F24" s="171"/>
      <c r="G24" s="172"/>
    </row>
    <row r="25" spans="1:7">
      <c r="A25" s="158">
        <v>2014</v>
      </c>
      <c r="B25" s="158">
        <v>8</v>
      </c>
      <c r="C25" s="152">
        <v>1</v>
      </c>
      <c r="D25" s="162">
        <f t="shared" si="0"/>
        <v>41852</v>
      </c>
      <c r="E25" s="170" t="s">
        <v>424</v>
      </c>
      <c r="F25" s="171"/>
      <c r="G25" s="172"/>
    </row>
    <row r="26" spans="1:7">
      <c r="A26" s="97"/>
      <c r="B26" s="97"/>
      <c r="C26" s="97"/>
      <c r="D26" s="97"/>
    </row>
    <row r="27" spans="1:7" ht="15.75">
      <c r="A27" s="73" t="s">
        <v>308</v>
      </c>
    </row>
    <row r="28" spans="1:7">
      <c r="A28" s="96" t="s">
        <v>425</v>
      </c>
    </row>
    <row r="29" spans="1:7">
      <c r="A29" s="151" t="s">
        <v>414</v>
      </c>
      <c r="B29" s="151" t="s">
        <v>416</v>
      </c>
      <c r="C29" s="151" t="s">
        <v>418</v>
      </c>
      <c r="D29" s="197" t="s">
        <v>16</v>
      </c>
      <c r="E29" s="198"/>
      <c r="F29" s="199"/>
    </row>
    <row r="30" spans="1:7">
      <c r="A30" s="158">
        <v>2012</v>
      </c>
      <c r="B30" s="158">
        <v>7</v>
      </c>
      <c r="C30" s="152">
        <v>31</v>
      </c>
      <c r="D30" s="258" t="s">
        <v>426</v>
      </c>
      <c r="E30" s="204"/>
      <c r="F30" s="205"/>
    </row>
    <row r="31" spans="1:7" ht="15" customHeight="1">
      <c r="A31" s="158">
        <v>2011</v>
      </c>
      <c r="B31" s="158">
        <v>1</v>
      </c>
      <c r="C31" s="152">
        <v>30</v>
      </c>
      <c r="D31" s="258" t="s">
        <v>427</v>
      </c>
      <c r="E31" s="204"/>
      <c r="F31" s="205"/>
    </row>
    <row r="32" spans="1:7">
      <c r="A32" s="158">
        <v>2010</v>
      </c>
      <c r="B32" s="158">
        <v>2</v>
      </c>
      <c r="C32" s="152">
        <v>1</v>
      </c>
      <c r="D32" s="258" t="s">
        <v>428</v>
      </c>
      <c r="E32" s="204"/>
      <c r="F32" s="205"/>
    </row>
    <row r="33" spans="1:6">
      <c r="A33" s="158">
        <v>2000</v>
      </c>
      <c r="B33" s="158">
        <v>5</v>
      </c>
      <c r="C33" s="152">
        <v>25</v>
      </c>
      <c r="D33" s="258" t="s">
        <v>429</v>
      </c>
      <c r="E33" s="204"/>
      <c r="F33" s="205"/>
    </row>
    <row r="35" spans="1:6" ht="15.75">
      <c r="A35" s="73" t="s">
        <v>311</v>
      </c>
    </row>
    <row r="36" spans="1:6">
      <c r="A36" s="96" t="s">
        <v>430</v>
      </c>
    </row>
    <row r="37" spans="1:6">
      <c r="A37" s="151" t="s">
        <v>113</v>
      </c>
      <c r="B37" s="151" t="s">
        <v>414</v>
      </c>
      <c r="C37" s="151" t="s">
        <v>416</v>
      </c>
      <c r="D37" s="151" t="s">
        <v>418</v>
      </c>
      <c r="E37" s="151" t="s">
        <v>431</v>
      </c>
    </row>
    <row r="38" spans="1:6">
      <c r="A38" s="158">
        <v>21122016</v>
      </c>
      <c r="B38" s="100" t="str">
        <f>RIGHT(A38,4)</f>
        <v>2016</v>
      </c>
      <c r="C38" s="100" t="str">
        <f>MID(A38,3,2)</f>
        <v>12</v>
      </c>
      <c r="D38" s="161" t="str">
        <f>LEFT(A38,2)</f>
        <v>21</v>
      </c>
      <c r="E38" s="162">
        <f>DATE(B38,C38,D38)</f>
        <v>42725</v>
      </c>
    </row>
    <row r="39" spans="1:6">
      <c r="A39" s="158">
        <v>13122000</v>
      </c>
      <c r="B39" s="100" t="str">
        <f t="shared" ref="B39:B41" si="1">RIGHT(A39,4)</f>
        <v>2000</v>
      </c>
      <c r="C39" s="100" t="str">
        <f t="shared" ref="C39:C41" si="2">MID(A39,3,2)</f>
        <v>12</v>
      </c>
      <c r="D39" s="161" t="str">
        <f t="shared" ref="D39:D41" si="3">LEFT(A39,2)</f>
        <v>13</v>
      </c>
      <c r="E39" s="162">
        <f t="shared" ref="E39:E41" si="4">DATE(B39,C39,D39)</f>
        <v>36873</v>
      </c>
    </row>
    <row r="40" spans="1:6">
      <c r="A40" s="158">
        <v>15011999</v>
      </c>
      <c r="B40" s="100" t="str">
        <f t="shared" si="1"/>
        <v>1999</v>
      </c>
      <c r="C40" s="100" t="str">
        <f t="shared" si="2"/>
        <v>01</v>
      </c>
      <c r="D40" s="161" t="str">
        <f t="shared" si="3"/>
        <v>15</v>
      </c>
      <c r="E40" s="162">
        <f t="shared" si="4"/>
        <v>36175</v>
      </c>
    </row>
    <row r="41" spans="1:6">
      <c r="A41" s="158">
        <v>10102010</v>
      </c>
      <c r="B41" s="100" t="str">
        <f t="shared" si="1"/>
        <v>2010</v>
      </c>
      <c r="C41" s="100" t="str">
        <f t="shared" si="2"/>
        <v>10</v>
      </c>
      <c r="D41" s="161" t="str">
        <f t="shared" si="3"/>
        <v>10</v>
      </c>
      <c r="E41" s="162">
        <f t="shared" si="4"/>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topLeftCell="A15" zoomScale="90" zoomScaleNormal="90" workbookViewId="0">
      <selection activeCell="H24" sqref="H24"/>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432</v>
      </c>
      <c r="B1" s="196"/>
      <c r="C1" s="94"/>
      <c r="D1" s="76"/>
      <c r="E1" s="76"/>
      <c r="F1" s="76"/>
      <c r="G1" s="76"/>
      <c r="H1" s="76"/>
      <c r="I1" s="76"/>
      <c r="J1" s="76"/>
      <c r="K1" s="76"/>
    </row>
    <row r="2" spans="1:11" ht="15.75" thickTop="1"/>
    <row r="3" spans="1:11" ht="18.75">
      <c r="A3" s="74" t="s">
        <v>1</v>
      </c>
    </row>
    <row r="4" spans="1:11" ht="15" customHeight="1">
      <c r="A4" s="200" t="s">
        <v>433</v>
      </c>
      <c r="B4" s="200"/>
      <c r="C4" s="200"/>
      <c r="D4" s="200"/>
      <c r="E4" s="200"/>
      <c r="F4" s="200"/>
      <c r="G4" s="200"/>
      <c r="H4" s="200"/>
      <c r="I4" s="200"/>
    </row>
    <row r="5" spans="1:11">
      <c r="A5" s="98"/>
      <c r="B5" s="156"/>
      <c r="C5" s="156"/>
      <c r="D5" s="156"/>
      <c r="E5" s="156"/>
      <c r="F5" s="156"/>
      <c r="G5" s="99"/>
      <c r="H5" s="99"/>
      <c r="I5" s="156"/>
    </row>
    <row r="6" spans="1:11" ht="18.75">
      <c r="A6" s="74" t="s">
        <v>3</v>
      </c>
    </row>
    <row r="7" spans="1:11" ht="15.75">
      <c r="A7" s="77" t="s">
        <v>434</v>
      </c>
    </row>
    <row r="9" spans="1:11" ht="15.75">
      <c r="A9" s="73" t="s">
        <v>435</v>
      </c>
    </row>
    <row r="10" spans="1:11">
      <c r="A10" t="s">
        <v>436</v>
      </c>
    </row>
    <row r="12" spans="1:11" ht="15.75">
      <c r="A12" s="73" t="s">
        <v>11</v>
      </c>
    </row>
    <row r="13" spans="1:11">
      <c r="A13" s="96" t="s">
        <v>420</v>
      </c>
    </row>
    <row r="14" spans="1:11">
      <c r="A14" s="151" t="s">
        <v>437</v>
      </c>
      <c r="B14" s="151" t="s">
        <v>49</v>
      </c>
      <c r="C14" s="197" t="s">
        <v>16</v>
      </c>
      <c r="D14" s="199"/>
    </row>
    <row r="15" spans="1:11">
      <c r="A15" s="101" t="s">
        <v>438</v>
      </c>
      <c r="B15" s="152">
        <f t="shared" ref="B15:B18" si="0">DATEVALUE(A15)</f>
        <v>42860</v>
      </c>
      <c r="C15" s="170" t="s">
        <v>439</v>
      </c>
      <c r="D15" s="172"/>
    </row>
    <row r="16" spans="1:11" ht="15" customHeight="1">
      <c r="A16" s="101" t="s">
        <v>440</v>
      </c>
      <c r="B16" s="152">
        <f t="shared" si="0"/>
        <v>43143</v>
      </c>
      <c r="C16" s="170" t="s">
        <v>441</v>
      </c>
      <c r="D16" s="172"/>
    </row>
    <row r="17" spans="1:4">
      <c r="A17" s="101" t="s">
        <v>442</v>
      </c>
      <c r="B17" s="152">
        <f t="shared" si="0"/>
        <v>42007</v>
      </c>
      <c r="C17" s="170" t="s">
        <v>443</v>
      </c>
      <c r="D17" s="172"/>
    </row>
    <row r="18" spans="1:4">
      <c r="A18" s="101" t="s">
        <v>444</v>
      </c>
      <c r="B18" s="152">
        <f t="shared" si="0"/>
        <v>41678</v>
      </c>
      <c r="C18" s="170" t="s">
        <v>445</v>
      </c>
      <c r="D18" s="172"/>
    </row>
    <row r="19" spans="1:4">
      <c r="A19" s="97"/>
      <c r="B19" s="97"/>
      <c r="C19" s="97"/>
    </row>
    <row r="20" spans="1:4" ht="15.75">
      <c r="A20" s="73" t="s">
        <v>27</v>
      </c>
    </row>
    <row r="21" spans="1:4">
      <c r="A21" s="96" t="s">
        <v>446</v>
      </c>
    </row>
    <row r="22" spans="1:4">
      <c r="A22" s="151" t="s">
        <v>437</v>
      </c>
      <c r="B22" s="169" t="s">
        <v>49</v>
      </c>
      <c r="C22" s="169"/>
    </row>
    <row r="23" spans="1:4">
      <c r="A23" s="101" t="s">
        <v>447</v>
      </c>
      <c r="B23" s="259">
        <f>DATE(MID(A23,7,4),MID(A23,4,2),LEFT(A23,2))</f>
        <v>42369</v>
      </c>
      <c r="C23" s="259"/>
    </row>
    <row r="24" spans="1:4" ht="15" customHeight="1">
      <c r="A24" s="101" t="s">
        <v>448</v>
      </c>
      <c r="B24" s="259">
        <f t="shared" ref="B24:B26" si="1">DATEVALUE(A24)</f>
        <v>40238</v>
      </c>
      <c r="C24" s="259"/>
    </row>
    <row r="25" spans="1:4">
      <c r="A25" s="101" t="s">
        <v>449</v>
      </c>
      <c r="B25" s="259">
        <f t="shared" si="1"/>
        <v>42320</v>
      </c>
      <c r="C25" s="259"/>
    </row>
    <row r="26" spans="1:4">
      <c r="A26" s="101" t="s">
        <v>450</v>
      </c>
      <c r="B26" s="259">
        <f t="shared" si="1"/>
        <v>41640</v>
      </c>
      <c r="C26" s="259"/>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topLeftCell="A11" zoomScale="90" zoomScaleNormal="90" workbookViewId="0">
      <selection activeCell="E22" sqref="E22"/>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451</v>
      </c>
      <c r="B1" s="196"/>
      <c r="C1" s="94"/>
      <c r="D1" s="76"/>
      <c r="E1" s="76"/>
      <c r="F1" s="76"/>
      <c r="G1" s="76"/>
      <c r="H1" s="76"/>
      <c r="I1" s="76"/>
      <c r="J1" s="76"/>
      <c r="K1" s="76"/>
    </row>
    <row r="2" spans="1:11" ht="15.75" thickTop="1"/>
    <row r="3" spans="1:11" ht="18.75">
      <c r="A3" s="74" t="s">
        <v>1</v>
      </c>
    </row>
    <row r="4" spans="1:11" ht="15" customHeight="1">
      <c r="A4" s="200" t="s">
        <v>452</v>
      </c>
      <c r="B4" s="200"/>
      <c r="C4" s="200"/>
      <c r="D4" s="200"/>
      <c r="E4" s="200"/>
      <c r="F4" s="200"/>
      <c r="G4" s="200"/>
      <c r="H4" s="200"/>
      <c r="I4" s="200"/>
    </row>
    <row r="5" spans="1:11">
      <c r="A5" s="98"/>
      <c r="B5" s="156"/>
      <c r="C5" s="156"/>
      <c r="D5" s="156"/>
      <c r="E5" s="156"/>
      <c r="F5" s="156"/>
      <c r="G5" s="99"/>
      <c r="H5" s="99"/>
      <c r="I5" s="156"/>
    </row>
    <row r="6" spans="1:11" ht="18.75">
      <c r="A6" s="74" t="s">
        <v>3</v>
      </c>
    </row>
    <row r="7" spans="1:11" ht="15.75">
      <c r="A7" s="77" t="s">
        <v>453</v>
      </c>
    </row>
    <row r="9" spans="1:11" ht="15.75">
      <c r="A9" s="73" t="s">
        <v>454</v>
      </c>
    </row>
    <row r="10" spans="1:11">
      <c r="A10" t="s">
        <v>455</v>
      </c>
    </row>
    <row r="12" spans="1:11" ht="15.75">
      <c r="A12" s="73" t="s">
        <v>11</v>
      </c>
    </row>
    <row r="13" spans="1:11">
      <c r="A13" s="96" t="s">
        <v>456</v>
      </c>
    </row>
    <row r="14" spans="1:11">
      <c r="A14" s="151" t="s">
        <v>49</v>
      </c>
      <c r="B14" s="197" t="s">
        <v>16</v>
      </c>
      <c r="C14" s="199"/>
    </row>
    <row r="15" spans="1:11">
      <c r="A15" s="162">
        <f ca="1">TODAY()</f>
        <v>46079</v>
      </c>
      <c r="B15" s="170" t="s">
        <v>453</v>
      </c>
      <c r="C15" s="172"/>
    </row>
    <row r="16" spans="1:11">
      <c r="A16" s="162">
        <f ca="1">TODAY()-5</f>
        <v>46074</v>
      </c>
      <c r="B16" s="170" t="s">
        <v>457</v>
      </c>
      <c r="C16" s="172"/>
    </row>
    <row r="17" spans="1:3">
      <c r="A17" s="97"/>
      <c r="B17" s="97"/>
      <c r="C17" s="97"/>
    </row>
    <row r="18" spans="1:3" ht="15.75">
      <c r="A18" s="73" t="s">
        <v>27</v>
      </c>
    </row>
    <row r="19" spans="1:3">
      <c r="A19" s="96" t="s">
        <v>458</v>
      </c>
    </row>
    <row r="20" spans="1:3">
      <c r="A20" s="151" t="s">
        <v>113</v>
      </c>
      <c r="B20" s="169" t="s">
        <v>49</v>
      </c>
      <c r="C20" s="169"/>
    </row>
    <row r="21" spans="1:3">
      <c r="A21" s="101">
        <v>42369</v>
      </c>
      <c r="B21" s="206">
        <f ca="1">TODAY()-A21</f>
        <v>3710</v>
      </c>
      <c r="C21" s="206"/>
    </row>
    <row r="22" spans="1:3">
      <c r="A22" s="101">
        <v>40181</v>
      </c>
      <c r="B22" s="206">
        <f t="shared" ref="B22:B24" ca="1" si="0">TODAY()-A22</f>
        <v>5898</v>
      </c>
      <c r="C22" s="206"/>
    </row>
    <row r="23" spans="1:3">
      <c r="A23" s="101">
        <v>42349</v>
      </c>
      <c r="B23" s="206">
        <f t="shared" ca="1" si="0"/>
        <v>3730</v>
      </c>
      <c r="C23" s="206"/>
    </row>
    <row r="24" spans="1:3">
      <c r="A24" s="101">
        <v>41640</v>
      </c>
      <c r="B24" s="206">
        <f t="shared" ca="1" si="0"/>
        <v>4439</v>
      </c>
      <c r="C24" s="206"/>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topLeftCell="A11" zoomScale="90" zoomScaleNormal="90" workbookViewId="0">
      <selection activeCell="D23" sqref="D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459</v>
      </c>
      <c r="B1" s="196"/>
      <c r="C1" s="94"/>
      <c r="D1" s="76"/>
      <c r="E1" s="76"/>
      <c r="F1" s="76"/>
      <c r="G1" s="76"/>
      <c r="H1" s="76"/>
      <c r="I1" s="76"/>
      <c r="J1" s="76"/>
      <c r="K1" s="76"/>
    </row>
    <row r="2" spans="1:11" ht="15.75" thickTop="1"/>
    <row r="3" spans="1:11" ht="18.75">
      <c r="A3" s="74" t="s">
        <v>1</v>
      </c>
    </row>
    <row r="4" spans="1:11" ht="15" customHeight="1">
      <c r="A4" s="200" t="s">
        <v>460</v>
      </c>
      <c r="B4" s="200"/>
      <c r="C4" s="200"/>
      <c r="D4" s="200"/>
      <c r="E4" s="200"/>
      <c r="F4" s="200"/>
      <c r="G4" s="200"/>
      <c r="H4" s="200"/>
      <c r="I4" s="200"/>
    </row>
    <row r="5" spans="1:11">
      <c r="A5" s="98"/>
      <c r="B5" s="156"/>
      <c r="C5" s="156"/>
      <c r="D5" s="156"/>
      <c r="E5" s="156"/>
      <c r="F5" s="156"/>
      <c r="G5" s="99"/>
      <c r="H5" s="99"/>
      <c r="I5" s="156"/>
    </row>
    <row r="6" spans="1:11" ht="18.75">
      <c r="A6" s="74" t="s">
        <v>3</v>
      </c>
    </row>
    <row r="7" spans="1:11" ht="15.75">
      <c r="A7" s="77" t="s">
        <v>461</v>
      </c>
    </row>
    <row r="9" spans="1:11" ht="15.75">
      <c r="A9" s="73" t="s">
        <v>454</v>
      </c>
    </row>
    <row r="10" spans="1:11">
      <c r="A10" t="s">
        <v>455</v>
      </c>
    </row>
    <row r="12" spans="1:11" ht="15.75">
      <c r="A12" s="73" t="s">
        <v>11</v>
      </c>
    </row>
    <row r="13" spans="1:11">
      <c r="A13" s="96" t="s">
        <v>462</v>
      </c>
    </row>
    <row r="14" spans="1:11">
      <c r="A14" s="186" t="s">
        <v>49</v>
      </c>
      <c r="B14" s="186"/>
      <c r="C14" s="197" t="s">
        <v>16</v>
      </c>
      <c r="D14" s="199"/>
    </row>
    <row r="15" spans="1:11">
      <c r="A15" s="207">
        <f ca="1">NOW()</f>
        <v>46079.927560416669</v>
      </c>
      <c r="B15" s="207"/>
      <c r="C15" s="170" t="s">
        <v>461</v>
      </c>
      <c r="D15" s="172"/>
      <c r="E15" s="102"/>
    </row>
    <row r="16" spans="1:11">
      <c r="A16" s="207">
        <f ca="1">NOW()-5</f>
        <v>46074.927560416669</v>
      </c>
      <c r="B16" s="207"/>
      <c r="C16" s="170" t="s">
        <v>463</v>
      </c>
      <c r="D16" s="172"/>
      <c r="E16" s="102"/>
    </row>
    <row r="17" spans="1:5">
      <c r="A17" s="97"/>
      <c r="B17" s="97"/>
      <c r="C17" s="97"/>
    </row>
    <row r="18" spans="1:5" ht="15.75">
      <c r="A18" s="73" t="s">
        <v>27</v>
      </c>
    </row>
    <row r="19" spans="1:5">
      <c r="A19" s="96" t="s">
        <v>464</v>
      </c>
    </row>
    <row r="20" spans="1:5">
      <c r="A20" s="191" t="s">
        <v>113</v>
      </c>
      <c r="B20" s="192"/>
      <c r="C20" s="193"/>
      <c r="D20" s="197" t="s">
        <v>16</v>
      </c>
      <c r="E20" s="199"/>
    </row>
    <row r="21" spans="1:5">
      <c r="A21" s="208" t="s">
        <v>465</v>
      </c>
      <c r="B21" s="209"/>
      <c r="C21" s="210"/>
      <c r="D21" s="207">
        <f ca="1">NOW()</f>
        <v>46079.927560416669</v>
      </c>
      <c r="E21" s="207"/>
    </row>
    <row r="22" spans="1:5" ht="15" customHeight="1">
      <c r="A22" s="208" t="s">
        <v>466</v>
      </c>
      <c r="B22" s="209"/>
      <c r="C22" s="210"/>
      <c r="D22" s="207">
        <f ca="1">NOW()-7</f>
        <v>46072.927560416669</v>
      </c>
      <c r="E22" s="207"/>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topLeftCell="A10" zoomScale="90" zoomScaleNormal="90" workbookViewId="0">
      <selection activeCell="F22" sqref="F22:G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467</v>
      </c>
      <c r="B1" s="196"/>
      <c r="C1" s="94"/>
      <c r="D1" s="76"/>
      <c r="E1" s="76"/>
      <c r="F1" s="76"/>
      <c r="G1" s="76"/>
      <c r="H1" s="76"/>
      <c r="I1" s="76"/>
      <c r="J1" s="76"/>
      <c r="K1" s="76"/>
    </row>
    <row r="2" spans="1:11" ht="15.75" thickTop="1"/>
    <row r="3" spans="1:11" ht="18.75">
      <c r="A3" s="74" t="s">
        <v>1</v>
      </c>
    </row>
    <row r="4" spans="1:11" ht="15" customHeight="1">
      <c r="A4" s="200" t="s">
        <v>468</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469</v>
      </c>
    </row>
    <row r="10" spans="1:11" ht="15.75">
      <c r="A10" s="73" t="s">
        <v>470</v>
      </c>
    </row>
    <row r="11" spans="1:11">
      <c r="A11" t="s">
        <v>471</v>
      </c>
    </row>
    <row r="13" spans="1:11" ht="15.75">
      <c r="A13" s="73" t="s">
        <v>11</v>
      </c>
    </row>
    <row r="14" spans="1:11">
      <c r="A14" s="96" t="s">
        <v>462</v>
      </c>
    </row>
    <row r="15" spans="1:11">
      <c r="A15" s="186" t="s">
        <v>113</v>
      </c>
      <c r="B15" s="186"/>
      <c r="C15" s="146" t="s">
        <v>49</v>
      </c>
      <c r="D15" s="146" t="s">
        <v>16</v>
      </c>
    </row>
    <row r="16" spans="1:11">
      <c r="A16" s="207">
        <f ca="1">NOW()</f>
        <v>46079.927560416669</v>
      </c>
      <c r="B16" s="207"/>
      <c r="C16" s="160">
        <f ca="1">DAY(A16)</f>
        <v>26</v>
      </c>
      <c r="D16" s="160" t="s">
        <v>472</v>
      </c>
    </row>
    <row r="17" spans="1:7">
      <c r="A17" s="207">
        <f ca="1">NOW()-5</f>
        <v>46074.927560416669</v>
      </c>
      <c r="B17" s="207"/>
      <c r="C17" s="160">
        <f ca="1">DAY(A17)</f>
        <v>21</v>
      </c>
      <c r="D17" s="160" t="s">
        <v>473</v>
      </c>
    </row>
    <row r="18" spans="1:7">
      <c r="A18" s="97"/>
      <c r="B18" s="97"/>
      <c r="C18" s="97"/>
    </row>
    <row r="19" spans="1:7" ht="15.75">
      <c r="A19" s="73" t="s">
        <v>27</v>
      </c>
    </row>
    <row r="20" spans="1:7">
      <c r="A20" s="96" t="s">
        <v>474</v>
      </c>
    </row>
    <row r="21" spans="1:7">
      <c r="A21" s="191" t="s">
        <v>113</v>
      </c>
      <c r="B21" s="192"/>
      <c r="C21" s="193"/>
      <c r="D21" s="197" t="s">
        <v>475</v>
      </c>
      <c r="E21" s="199"/>
      <c r="F21" s="197" t="s">
        <v>476</v>
      </c>
      <c r="G21" s="199"/>
    </row>
    <row r="22" spans="1:7">
      <c r="A22" s="208" t="s">
        <v>465</v>
      </c>
      <c r="B22" s="209"/>
      <c r="C22" s="210"/>
      <c r="D22" s="207">
        <f ca="1">NOW()</f>
        <v>46079.927560416669</v>
      </c>
      <c r="E22" s="207"/>
      <c r="F22" s="211">
        <f ca="1">DAY(D22)</f>
        <v>26</v>
      </c>
      <c r="G22" s="211"/>
    </row>
    <row r="23" spans="1:7" ht="15" customHeight="1">
      <c r="A23" s="208" t="s">
        <v>466</v>
      </c>
      <c r="B23" s="209"/>
      <c r="C23" s="210"/>
      <c r="D23" s="213">
        <f ca="1">NOW()-7</f>
        <v>46072.927560416669</v>
      </c>
      <c r="E23" s="214"/>
      <c r="F23" s="211">
        <f ca="1">DAY(D23)</f>
        <v>19</v>
      </c>
      <c r="G23" s="211"/>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topLeftCell="A14" zoomScale="90" zoomScaleNormal="90" workbookViewId="0">
      <selection activeCell="F22" sqref="F22:G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477</v>
      </c>
      <c r="B1" s="196"/>
      <c r="C1" s="94"/>
      <c r="D1" s="76"/>
      <c r="E1" s="76"/>
      <c r="F1" s="76"/>
      <c r="G1" s="76"/>
      <c r="H1" s="76"/>
      <c r="I1" s="76"/>
      <c r="J1" s="76"/>
      <c r="K1" s="76"/>
    </row>
    <row r="2" spans="1:11" ht="15.75" thickTop="1"/>
    <row r="3" spans="1:11" ht="18.75">
      <c r="A3" s="74" t="s">
        <v>1</v>
      </c>
    </row>
    <row r="4" spans="1:11" ht="15" customHeight="1">
      <c r="A4" s="200" t="s">
        <v>478</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479</v>
      </c>
    </row>
    <row r="10" spans="1:11" ht="15.75">
      <c r="A10" s="73" t="s">
        <v>470</v>
      </c>
    </row>
    <row r="11" spans="1:11">
      <c r="A11" t="s">
        <v>480</v>
      </c>
    </row>
    <row r="12" spans="1:11">
      <c r="A12" s="103"/>
    </row>
    <row r="13" spans="1:11" ht="15.75">
      <c r="A13" s="73" t="s">
        <v>11</v>
      </c>
    </row>
    <row r="14" spans="1:11">
      <c r="A14" s="96" t="s">
        <v>462</v>
      </c>
    </row>
    <row r="15" spans="1:11">
      <c r="A15" s="186" t="s">
        <v>113</v>
      </c>
      <c r="B15" s="186"/>
      <c r="C15" s="146" t="s">
        <v>49</v>
      </c>
      <c r="D15" s="146" t="s">
        <v>16</v>
      </c>
    </row>
    <row r="16" spans="1:11">
      <c r="A16" s="207">
        <v>42823.507711458333</v>
      </c>
      <c r="B16" s="207"/>
      <c r="C16" s="160">
        <f>MONTH(A16)</f>
        <v>3</v>
      </c>
      <c r="D16" s="160" t="s">
        <v>481</v>
      </c>
    </row>
    <row r="17" spans="1:7">
      <c r="A17" s="207">
        <v>42788.507711458333</v>
      </c>
      <c r="B17" s="207"/>
      <c r="C17" s="160">
        <f>MONTH(A17)</f>
        <v>2</v>
      </c>
      <c r="D17" s="160" t="s">
        <v>482</v>
      </c>
    </row>
    <row r="18" spans="1:7">
      <c r="A18" s="97"/>
      <c r="B18" s="97"/>
      <c r="C18" s="97"/>
    </row>
    <row r="19" spans="1:7" ht="15.75">
      <c r="A19" s="73" t="s">
        <v>27</v>
      </c>
    </row>
    <row r="20" spans="1:7">
      <c r="A20" s="96" t="s">
        <v>483</v>
      </c>
    </row>
    <row r="21" spans="1:7">
      <c r="A21" s="191" t="s">
        <v>113</v>
      </c>
      <c r="B21" s="192"/>
      <c r="C21" s="193"/>
      <c r="D21" s="197" t="s">
        <v>475</v>
      </c>
      <c r="E21" s="199"/>
      <c r="F21" s="197" t="s">
        <v>484</v>
      </c>
      <c r="G21" s="199"/>
    </row>
    <row r="22" spans="1:7">
      <c r="A22" s="208" t="s">
        <v>465</v>
      </c>
      <c r="B22" s="209"/>
      <c r="C22" s="210"/>
      <c r="D22" s="207">
        <f ca="1">NOW()</f>
        <v>46079.927560416669</v>
      </c>
      <c r="E22" s="207"/>
      <c r="F22" s="211">
        <f ca="1">MONTH(D22)</f>
        <v>2</v>
      </c>
      <c r="G22" s="211"/>
    </row>
    <row r="23" spans="1:7">
      <c r="A23" s="208" t="s">
        <v>485</v>
      </c>
      <c r="B23" s="209"/>
      <c r="C23" s="210"/>
      <c r="D23" s="207">
        <f ca="1">NOW()-30</f>
        <v>46049.927560416669</v>
      </c>
      <c r="E23" s="207"/>
      <c r="F23" s="211">
        <f ca="1">MONTH(D23)</f>
        <v>1</v>
      </c>
      <c r="G23" s="211"/>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22" zoomScale="90" zoomScaleNormal="90" workbookViewId="0">
      <selection activeCell="B31" sqref="B31:E31"/>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486</v>
      </c>
      <c r="B1" s="196"/>
      <c r="C1" s="94"/>
      <c r="D1" s="76"/>
      <c r="E1" s="76"/>
      <c r="F1" s="76"/>
      <c r="G1" s="76"/>
      <c r="H1" s="76"/>
      <c r="I1" s="76"/>
      <c r="J1" s="76"/>
      <c r="K1" s="76"/>
    </row>
    <row r="2" spans="1:11" ht="15.75" thickTop="1"/>
    <row r="3" spans="1:11" ht="18.75">
      <c r="A3" s="74" t="s">
        <v>1</v>
      </c>
    </row>
    <row r="4" spans="1:11" ht="15" customHeight="1">
      <c r="A4" s="200" t="s">
        <v>487</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488</v>
      </c>
    </row>
    <row r="10" spans="1:11" ht="15.75">
      <c r="A10" s="73" t="s">
        <v>470</v>
      </c>
    </row>
    <row r="11" spans="1:11">
      <c r="A11" t="s">
        <v>489</v>
      </c>
    </row>
    <row r="12" spans="1:11">
      <c r="A12" s="103"/>
    </row>
    <row r="13" spans="1:11" ht="15.75">
      <c r="A13" s="73" t="s">
        <v>11</v>
      </c>
    </row>
    <row r="14" spans="1:11">
      <c r="A14" s="96" t="s">
        <v>462</v>
      </c>
    </row>
    <row r="15" spans="1:11">
      <c r="A15" s="186" t="s">
        <v>113</v>
      </c>
      <c r="B15" s="186"/>
      <c r="C15" s="146" t="s">
        <v>49</v>
      </c>
      <c r="D15" s="146" t="s">
        <v>16</v>
      </c>
    </row>
    <row r="16" spans="1:11">
      <c r="A16" s="207">
        <v>42823.507711458333</v>
      </c>
      <c r="B16" s="207"/>
      <c r="C16" s="160">
        <f>YEAR(A16)</f>
        <v>2017</v>
      </c>
      <c r="D16" s="160" t="s">
        <v>490</v>
      </c>
    </row>
    <row r="17" spans="1:7">
      <c r="A17" s="212">
        <v>18681</v>
      </c>
      <c r="B17" s="212"/>
      <c r="C17" s="160">
        <f>YEAR(A17)</f>
        <v>1951</v>
      </c>
      <c r="D17" s="160" t="s">
        <v>491</v>
      </c>
    </row>
    <row r="18" spans="1:7">
      <c r="A18" s="97"/>
      <c r="B18" s="97"/>
      <c r="C18" s="97"/>
    </row>
    <row r="19" spans="1:7" ht="15.75">
      <c r="A19" s="73" t="s">
        <v>308</v>
      </c>
    </row>
    <row r="20" spans="1:7">
      <c r="A20" s="96" t="s">
        <v>492</v>
      </c>
    </row>
    <row r="21" spans="1:7">
      <c r="A21" s="191" t="s">
        <v>113</v>
      </c>
      <c r="B21" s="192"/>
      <c r="C21" s="193"/>
      <c r="D21" s="197" t="s">
        <v>475</v>
      </c>
      <c r="E21" s="199"/>
      <c r="F21" s="197" t="s">
        <v>493</v>
      </c>
      <c r="G21" s="199"/>
    </row>
    <row r="22" spans="1:7">
      <c r="A22" s="208" t="s">
        <v>465</v>
      </c>
      <c r="B22" s="209"/>
      <c r="C22" s="210"/>
      <c r="D22" s="207">
        <f ca="1">NOW()</f>
        <v>46079.927560416669</v>
      </c>
      <c r="E22" s="207"/>
      <c r="F22" s="211">
        <f ca="1">YEAR(D22)</f>
        <v>2026</v>
      </c>
      <c r="G22" s="211"/>
    </row>
    <row r="23" spans="1:7" ht="15" customHeight="1">
      <c r="A23" s="208" t="s">
        <v>494</v>
      </c>
      <c r="B23" s="209"/>
      <c r="C23" s="210"/>
      <c r="D23" s="207">
        <f ca="1">NOW()-30</f>
        <v>46049.927560416669</v>
      </c>
      <c r="E23" s="207"/>
      <c r="F23" s="211">
        <f ca="1">YEAR(D23)</f>
        <v>2026</v>
      </c>
      <c r="G23" s="211"/>
    </row>
    <row r="25" spans="1:7" ht="15.75">
      <c r="A25" s="73" t="s">
        <v>311</v>
      </c>
    </row>
    <row r="26" spans="1:7">
      <c r="A26" s="96" t="s">
        <v>495</v>
      </c>
    </row>
    <row r="27" spans="1:7">
      <c r="A27" s="151" t="s">
        <v>431</v>
      </c>
      <c r="B27" s="186" t="s">
        <v>158</v>
      </c>
      <c r="C27" s="186"/>
      <c r="D27" s="186"/>
      <c r="E27" s="186"/>
    </row>
    <row r="28" spans="1:7">
      <c r="A28" s="162">
        <v>42384</v>
      </c>
      <c r="B28" s="194" t="s">
        <v>496</v>
      </c>
      <c r="C28" s="194"/>
      <c r="D28" s="194"/>
      <c r="E28" s="194"/>
    </row>
    <row r="29" spans="1:7">
      <c r="A29" s="162">
        <v>42415</v>
      </c>
      <c r="B29" s="212">
        <f>DATE(YEAR(A28),MONTH(A28)+1,DAY(A28))</f>
        <v>42415</v>
      </c>
      <c r="C29" s="212"/>
      <c r="D29" s="212"/>
      <c r="E29" s="212"/>
      <c r="F29" t="s">
        <v>497</v>
      </c>
    </row>
    <row r="30" spans="1:7">
      <c r="A30" s="162">
        <v>42444</v>
      </c>
      <c r="B30" s="212">
        <f t="shared" ref="B30:B35" si="0">DATE(YEAR(A29),MONTH(A29)+1,DAY(A29))</f>
        <v>42444</v>
      </c>
      <c r="C30" s="212"/>
      <c r="D30" s="212"/>
      <c r="E30" s="212"/>
    </row>
    <row r="31" spans="1:7">
      <c r="A31" s="162">
        <v>42475</v>
      </c>
      <c r="B31" s="212">
        <f t="shared" si="0"/>
        <v>42475</v>
      </c>
      <c r="C31" s="212"/>
      <c r="D31" s="212"/>
      <c r="E31" s="212"/>
    </row>
    <row r="32" spans="1:7">
      <c r="A32" s="162">
        <v>42505</v>
      </c>
      <c r="B32" s="212">
        <f t="shared" si="0"/>
        <v>42505</v>
      </c>
      <c r="C32" s="212"/>
      <c r="D32" s="212"/>
      <c r="E32" s="212"/>
    </row>
    <row r="33" spans="1:5">
      <c r="A33" s="162">
        <v>42536</v>
      </c>
      <c r="B33" s="212">
        <f t="shared" si="0"/>
        <v>42536</v>
      </c>
      <c r="C33" s="212"/>
      <c r="D33" s="212"/>
      <c r="E33" s="212"/>
    </row>
    <row r="34" spans="1:5">
      <c r="A34" s="162">
        <v>42566</v>
      </c>
      <c r="B34" s="212">
        <f t="shared" si="0"/>
        <v>42566</v>
      </c>
      <c r="C34" s="212"/>
      <c r="D34" s="212"/>
      <c r="E34" s="212"/>
    </row>
    <row r="35" spans="1:5">
      <c r="A35" s="162">
        <v>42967</v>
      </c>
      <c r="B35" s="212">
        <f t="shared" si="0"/>
        <v>42597</v>
      </c>
      <c r="C35" s="212"/>
      <c r="D35" s="212"/>
      <c r="E35" s="212"/>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29" zoomScale="90" zoomScaleNormal="90" workbookViewId="0">
      <selection activeCell="C37" sqref="C37:D4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498</v>
      </c>
      <c r="B1" s="196"/>
      <c r="C1" s="94"/>
      <c r="D1" s="76"/>
      <c r="E1" s="76"/>
      <c r="F1" s="76"/>
      <c r="G1" s="76"/>
      <c r="H1" s="76"/>
      <c r="I1" s="76"/>
      <c r="J1" s="76"/>
      <c r="K1" s="76"/>
    </row>
    <row r="2" spans="1:11" ht="15.75" thickTop="1"/>
    <row r="3" spans="1:11" ht="18.75">
      <c r="A3" s="74" t="s">
        <v>1</v>
      </c>
    </row>
    <row r="4" spans="1:11" ht="15" customHeight="1">
      <c r="A4" s="200" t="s">
        <v>499</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500</v>
      </c>
    </row>
    <row r="10" spans="1:11" ht="15.75">
      <c r="A10" s="73" t="s">
        <v>470</v>
      </c>
    </row>
    <row r="11" spans="1:11">
      <c r="A11" t="s">
        <v>489</v>
      </c>
    </row>
    <row r="12" spans="1:11">
      <c r="A12" s="103"/>
    </row>
    <row r="13" spans="1:11" ht="15.75">
      <c r="A13" s="73" t="s">
        <v>501</v>
      </c>
    </row>
    <row r="14" spans="1:11">
      <c r="A14" s="167" t="s">
        <v>502</v>
      </c>
      <c r="B14" s="167"/>
      <c r="C14" s="167"/>
      <c r="D14" s="167"/>
      <c r="E14" s="167"/>
      <c r="F14" s="167"/>
      <c r="G14" s="167"/>
      <c r="H14" s="167"/>
      <c r="I14" s="167"/>
      <c r="J14" s="167"/>
    </row>
    <row r="15" spans="1:11">
      <c r="A15" s="167"/>
      <c r="B15" s="167"/>
      <c r="C15" s="167"/>
      <c r="D15" s="167"/>
      <c r="E15" s="167"/>
      <c r="F15" s="167"/>
      <c r="G15" s="167"/>
      <c r="H15" s="167"/>
      <c r="I15" s="167"/>
      <c r="J15" s="167"/>
    </row>
    <row r="16" spans="1:11">
      <c r="A16" s="144"/>
      <c r="B16" s="144"/>
      <c r="C16" s="144"/>
      <c r="D16" s="144"/>
      <c r="E16" s="144"/>
      <c r="F16" s="144"/>
      <c r="G16" s="144"/>
      <c r="H16" s="144"/>
      <c r="I16" s="144"/>
      <c r="J16" s="144"/>
    </row>
    <row r="17" spans="1:4" ht="15.75">
      <c r="A17" s="73" t="s">
        <v>11</v>
      </c>
    </row>
    <row r="18" spans="1:4">
      <c r="A18" s="96" t="s">
        <v>503</v>
      </c>
    </row>
    <row r="19" spans="1:4">
      <c r="A19" s="186" t="s">
        <v>113</v>
      </c>
      <c r="B19" s="186"/>
      <c r="C19" s="146" t="s">
        <v>49</v>
      </c>
      <c r="D19" s="146" t="s">
        <v>16</v>
      </c>
    </row>
    <row r="20" spans="1:4">
      <c r="A20" s="212">
        <f ca="1">TODAY()</f>
        <v>46079</v>
      </c>
      <c r="B20" s="212"/>
      <c r="C20" s="160">
        <f ca="1">WEEKDAY(A20)</f>
        <v>5</v>
      </c>
      <c r="D20" s="160" t="s">
        <v>504</v>
      </c>
    </row>
    <row r="21" spans="1:4">
      <c r="A21" s="212">
        <f t="shared" ref="A21:A23" ca="1" si="0">TODAY()</f>
        <v>46079</v>
      </c>
      <c r="B21" s="212"/>
      <c r="C21" s="160">
        <f ca="1">WEEKDAY(A21,2)</f>
        <v>4</v>
      </c>
      <c r="D21" s="160" t="s">
        <v>505</v>
      </c>
    </row>
    <row r="22" spans="1:4">
      <c r="A22" s="212">
        <f t="shared" ca="1" si="0"/>
        <v>46079</v>
      </c>
      <c r="B22" s="212"/>
      <c r="C22" s="160">
        <f ca="1">WEEKDAY(A22,3)</f>
        <v>3</v>
      </c>
      <c r="D22" s="160" t="s">
        <v>506</v>
      </c>
    </row>
    <row r="23" spans="1:4">
      <c r="A23" s="212">
        <f t="shared" ca="1" si="0"/>
        <v>46079</v>
      </c>
      <c r="B23" s="212"/>
      <c r="C23" s="160">
        <f ca="1">WEEKDAY(A23,14)</f>
        <v>1</v>
      </c>
      <c r="D23" s="160" t="s">
        <v>507</v>
      </c>
    </row>
    <row r="24" spans="1:4">
      <c r="A24" s="97"/>
      <c r="B24" s="97"/>
      <c r="C24" s="97"/>
    </row>
    <row r="25" spans="1:4" ht="15.75">
      <c r="A25" s="73" t="s">
        <v>308</v>
      </c>
    </row>
    <row r="26" spans="1:4">
      <c r="A26" s="96" t="s">
        <v>508</v>
      </c>
    </row>
    <row r="27" spans="1:4">
      <c r="A27" s="151" t="s">
        <v>509</v>
      </c>
      <c r="B27" s="151" t="s">
        <v>510</v>
      </c>
      <c r="C27" s="197" t="s">
        <v>158</v>
      </c>
      <c r="D27" s="199"/>
    </row>
    <row r="28" spans="1:4">
      <c r="A28" s="162">
        <v>42736</v>
      </c>
      <c r="B28" s="105">
        <v>1</v>
      </c>
      <c r="C28" s="213">
        <f>WEEKDAY(A28,1)</f>
        <v>1</v>
      </c>
      <c r="D28" s="214"/>
    </row>
    <row r="29" spans="1:4">
      <c r="A29" s="162">
        <v>42736</v>
      </c>
      <c r="B29" s="105">
        <v>2</v>
      </c>
      <c r="C29" s="213">
        <f>WEEKDAY(A29,2)</f>
        <v>7</v>
      </c>
      <c r="D29" s="214"/>
    </row>
    <row r="30" spans="1:4">
      <c r="A30" s="162">
        <v>42736</v>
      </c>
      <c r="B30" s="105">
        <v>3</v>
      </c>
      <c r="C30" s="213">
        <f>WEEKDAY(A30,3)</f>
        <v>6</v>
      </c>
      <c r="D30" s="214"/>
    </row>
    <row r="32" spans="1:4" ht="15.75">
      <c r="A32" s="73" t="s">
        <v>311</v>
      </c>
    </row>
    <row r="33" spans="1:10">
      <c r="A33" s="167" t="s">
        <v>511</v>
      </c>
      <c r="B33" s="167"/>
      <c r="C33" s="167"/>
      <c r="D33" s="167"/>
      <c r="E33" s="167"/>
      <c r="F33" s="167"/>
      <c r="G33" s="167"/>
      <c r="H33" s="167"/>
      <c r="I33" s="167"/>
      <c r="J33" s="167"/>
    </row>
    <row r="34" spans="1:10">
      <c r="A34" s="167"/>
      <c r="B34" s="167"/>
      <c r="C34" s="167"/>
      <c r="D34" s="167"/>
      <c r="E34" s="167"/>
      <c r="F34" s="167"/>
      <c r="G34" s="167"/>
      <c r="H34" s="167"/>
      <c r="I34" s="167"/>
      <c r="J34" s="167"/>
    </row>
    <row r="35" spans="1:10">
      <c r="A35" s="151" t="s">
        <v>509</v>
      </c>
      <c r="B35" s="151" t="s">
        <v>512</v>
      </c>
      <c r="C35" s="186" t="s">
        <v>513</v>
      </c>
      <c r="D35" s="186"/>
    </row>
    <row r="36" spans="1:10">
      <c r="A36" s="163">
        <v>42822</v>
      </c>
      <c r="B36" s="106">
        <f>WEEKDAY(A36)</f>
        <v>3</v>
      </c>
      <c r="C36" s="215">
        <f>IF(B36=3,A36-4,A36)</f>
        <v>42818</v>
      </c>
      <c r="D36" s="215"/>
    </row>
    <row r="37" spans="1:10">
      <c r="A37" s="162">
        <v>42823</v>
      </c>
      <c r="B37" s="152">
        <f>WEEKDAY(A36,2)</f>
        <v>2</v>
      </c>
      <c r="C37" s="212">
        <f>IF(WEEKDAY(A36,2)=2,A36+3,A36)</f>
        <v>42825</v>
      </c>
      <c r="D37" s="212"/>
    </row>
    <row r="38" spans="1:10">
      <c r="A38" s="162">
        <v>42815</v>
      </c>
      <c r="B38" s="152">
        <f t="shared" ref="B38:B43" si="1">WEEKDAY(A37,2)</f>
        <v>3</v>
      </c>
      <c r="C38" s="212">
        <f t="shared" ref="C38:C43" si="2">IF(WEEKDAY(A37,2)=2,A37+3,A37)</f>
        <v>42823</v>
      </c>
      <c r="D38" s="212"/>
    </row>
    <row r="39" spans="1:10">
      <c r="A39" s="162">
        <v>42370</v>
      </c>
      <c r="B39" s="152">
        <f t="shared" si="1"/>
        <v>2</v>
      </c>
      <c r="C39" s="212">
        <f t="shared" si="2"/>
        <v>42818</v>
      </c>
      <c r="D39" s="212"/>
    </row>
    <row r="40" spans="1:10">
      <c r="A40" s="162">
        <v>42736</v>
      </c>
      <c r="B40" s="152">
        <f t="shared" si="1"/>
        <v>5</v>
      </c>
      <c r="C40" s="212">
        <f t="shared" si="2"/>
        <v>42370</v>
      </c>
      <c r="D40" s="212"/>
    </row>
    <row r="41" spans="1:10">
      <c r="A41" s="162">
        <v>42005</v>
      </c>
      <c r="B41" s="152">
        <f t="shared" si="1"/>
        <v>7</v>
      </c>
      <c r="C41" s="212">
        <f t="shared" si="2"/>
        <v>42736</v>
      </c>
      <c r="D41" s="212"/>
    </row>
    <row r="42" spans="1:10">
      <c r="A42" s="162">
        <v>41640</v>
      </c>
      <c r="B42" s="152">
        <f t="shared" si="1"/>
        <v>4</v>
      </c>
      <c r="C42" s="212">
        <f t="shared" si="2"/>
        <v>42005</v>
      </c>
      <c r="D42" s="212"/>
    </row>
    <row r="43" spans="1:10">
      <c r="A43" s="162">
        <v>41275</v>
      </c>
      <c r="B43" s="152">
        <f t="shared" si="1"/>
        <v>3</v>
      </c>
      <c r="C43" s="212">
        <f t="shared" si="2"/>
        <v>41640</v>
      </c>
      <c r="D43" s="212"/>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topLeftCell="B12" zoomScale="90" zoomScaleNormal="90"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514</v>
      </c>
      <c r="B1" s="196"/>
      <c r="C1" s="94"/>
      <c r="D1" s="76"/>
      <c r="E1" s="76"/>
      <c r="F1" s="76"/>
      <c r="G1" s="76"/>
      <c r="H1" s="76"/>
      <c r="I1" s="76"/>
      <c r="J1" s="76"/>
      <c r="K1" s="76"/>
    </row>
    <row r="2" spans="1:11" ht="15.75" thickTop="1"/>
    <row r="3" spans="1:11" ht="18.75">
      <c r="A3" s="74" t="s">
        <v>1</v>
      </c>
    </row>
    <row r="4" spans="1:11" ht="15" customHeight="1">
      <c r="A4" s="200" t="s">
        <v>515</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516</v>
      </c>
    </row>
    <row r="9" spans="1:11" ht="15.75">
      <c r="A9" s="73" t="s">
        <v>470</v>
      </c>
    </row>
    <row r="10" spans="1:11">
      <c r="A10" t="s">
        <v>517</v>
      </c>
    </row>
    <row r="11" spans="1:11">
      <c r="A11" s="103"/>
    </row>
    <row r="12" spans="1:11" ht="15.75">
      <c r="A12" s="73" t="s">
        <v>11</v>
      </c>
    </row>
    <row r="13" spans="1:11">
      <c r="A13" s="96" t="s">
        <v>503</v>
      </c>
    </row>
    <row r="14" spans="1:11">
      <c r="A14" s="186" t="s">
        <v>113</v>
      </c>
      <c r="B14" s="186"/>
      <c r="C14" s="146" t="s">
        <v>49</v>
      </c>
      <c r="D14" s="146" t="s">
        <v>16</v>
      </c>
    </row>
    <row r="15" spans="1:11">
      <c r="A15" s="207">
        <f ca="1">NOW()</f>
        <v>46079.927560416669</v>
      </c>
      <c r="B15" s="207"/>
      <c r="C15" s="160">
        <f ca="1">MINUTE(A15)</f>
        <v>15</v>
      </c>
      <c r="D15" s="160" t="s">
        <v>518</v>
      </c>
    </row>
    <row r="16" spans="1:11">
      <c r="A16" s="216">
        <v>0.42708333333333331</v>
      </c>
      <c r="B16" s="212"/>
      <c r="C16" s="160">
        <f>MINUTE(A16)</f>
        <v>15</v>
      </c>
      <c r="D16" s="160" t="s">
        <v>519</v>
      </c>
    </row>
    <row r="17" spans="1:4">
      <c r="A17" s="216">
        <v>0.93055555555555547</v>
      </c>
      <c r="B17" s="212"/>
      <c r="C17" s="160">
        <f>MINUTE(A17)</f>
        <v>20</v>
      </c>
      <c r="D17" s="160" t="s">
        <v>520</v>
      </c>
    </row>
    <row r="18" spans="1:4">
      <c r="A18" s="97"/>
      <c r="B18" s="97"/>
      <c r="C18" s="97"/>
    </row>
    <row r="19" spans="1:4" ht="15.75">
      <c r="A19" s="73" t="s">
        <v>27</v>
      </c>
    </row>
    <row r="20" spans="1:4">
      <c r="A20" s="96" t="s">
        <v>521</v>
      </c>
    </row>
    <row r="21" spans="1:4">
      <c r="A21" s="191" t="s">
        <v>113</v>
      </c>
      <c r="B21" s="193"/>
      <c r="C21" s="146" t="s">
        <v>158</v>
      </c>
    </row>
    <row r="22" spans="1:4">
      <c r="A22" s="207">
        <v>42766.034722222219</v>
      </c>
      <c r="B22" s="207">
        <v>1</v>
      </c>
      <c r="C22" s="160">
        <f>MINUTE(A22)</f>
        <v>50</v>
      </c>
    </row>
    <row r="23" spans="1:4">
      <c r="A23" s="207">
        <v>42736.000694444447</v>
      </c>
      <c r="B23" s="212">
        <v>2</v>
      </c>
      <c r="C23" s="160">
        <f t="shared" ref="C23:C24" si="0">MINUTE(A23)</f>
        <v>1</v>
      </c>
    </row>
    <row r="24" spans="1:4">
      <c r="A24" s="216">
        <v>3.125E-2</v>
      </c>
      <c r="B24" s="212">
        <v>3</v>
      </c>
      <c r="C24" s="160">
        <f t="shared" si="0"/>
        <v>45</v>
      </c>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topLeftCell="A11" zoomScale="90" zoomScaleNormal="90"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522</v>
      </c>
      <c r="B1" s="196"/>
      <c r="C1" s="94"/>
      <c r="D1" s="76"/>
      <c r="E1" s="76"/>
      <c r="F1" s="76"/>
      <c r="G1" s="76"/>
      <c r="H1" s="76"/>
      <c r="I1" s="76"/>
      <c r="J1" s="76"/>
      <c r="K1" s="76"/>
    </row>
    <row r="2" spans="1:11" ht="15.75" thickTop="1"/>
    <row r="3" spans="1:11" ht="18.75">
      <c r="A3" s="74" t="s">
        <v>1</v>
      </c>
    </row>
    <row r="4" spans="1:11" ht="15" customHeight="1">
      <c r="A4" s="200" t="s">
        <v>523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524</v>
      </c>
    </row>
    <row r="9" spans="1:11" ht="15.75">
      <c r="A9" s="73" t="s">
        <v>470</v>
      </c>
    </row>
    <row r="10" spans="1:11">
      <c r="A10" t="s">
        <v>525</v>
      </c>
    </row>
    <row r="11" spans="1:11">
      <c r="A11" s="103"/>
    </row>
    <row r="12" spans="1:11" ht="15.75">
      <c r="A12" s="73" t="s">
        <v>11</v>
      </c>
    </row>
    <row r="13" spans="1:11">
      <c r="A13" s="96" t="s">
        <v>503</v>
      </c>
    </row>
    <row r="14" spans="1:11">
      <c r="A14" s="186" t="s">
        <v>113</v>
      </c>
      <c r="B14" s="186"/>
      <c r="C14" s="146" t="s">
        <v>49</v>
      </c>
      <c r="D14" s="146" t="s">
        <v>16</v>
      </c>
    </row>
    <row r="15" spans="1:11">
      <c r="A15" s="207">
        <f ca="1">NOW()</f>
        <v>46079.927560416669</v>
      </c>
      <c r="B15" s="207"/>
      <c r="C15" s="160">
        <f ca="1">HOUR(A15)</f>
        <v>22</v>
      </c>
      <c r="D15" s="160" t="s">
        <v>526</v>
      </c>
    </row>
    <row r="16" spans="1:11">
      <c r="A16" s="216">
        <v>0.42708333333333331</v>
      </c>
      <c r="B16" s="212"/>
      <c r="C16" s="160">
        <f t="shared" ref="C16:C17" si="0">HOUR(A16)</f>
        <v>10</v>
      </c>
      <c r="D16" s="160" t="s">
        <v>527</v>
      </c>
    </row>
    <row r="17" spans="1:4">
      <c r="A17" s="216">
        <v>0.99998842592592585</v>
      </c>
      <c r="B17" s="212"/>
      <c r="C17" s="160">
        <f t="shared" si="0"/>
        <v>23</v>
      </c>
      <c r="D17" s="160" t="s">
        <v>528</v>
      </c>
    </row>
    <row r="18" spans="1:4">
      <c r="A18" s="97"/>
      <c r="B18" s="97"/>
      <c r="C18" s="97"/>
    </row>
    <row r="19" spans="1:4" ht="15.75">
      <c r="A19" s="73" t="s">
        <v>27</v>
      </c>
    </row>
    <row r="20" spans="1:4">
      <c r="A20" s="96" t="s">
        <v>529</v>
      </c>
    </row>
    <row r="21" spans="1:4">
      <c r="A21" s="191" t="s">
        <v>113</v>
      </c>
      <c r="B21" s="193"/>
      <c r="C21" s="146" t="s">
        <v>158</v>
      </c>
    </row>
    <row r="22" spans="1:4">
      <c r="A22" s="207">
        <v>42766.034722222219</v>
      </c>
      <c r="B22" s="207">
        <v>1</v>
      </c>
      <c r="C22" s="160">
        <f>HOUR(A22)</f>
        <v>0</v>
      </c>
    </row>
    <row r="23" spans="1:4">
      <c r="A23" s="207">
        <v>42736.959027777775</v>
      </c>
      <c r="B23" s="212">
        <v>2</v>
      </c>
      <c r="C23" s="160">
        <f t="shared" ref="C23:C24" si="1">HOUR(A23)</f>
        <v>23</v>
      </c>
    </row>
    <row r="24" spans="1:4">
      <c r="A24" s="216">
        <v>0.23958333333333334</v>
      </c>
      <c r="B24" s="212">
        <v>3</v>
      </c>
      <c r="C24" s="160">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85" zoomScale="90" zoomScaleNormal="90" workbookViewId="0">
      <selection activeCell="B100" sqref="B100:I10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96" t="s">
        <v>530</v>
      </c>
      <c r="B1" s="196"/>
      <c r="C1" s="196"/>
      <c r="D1" s="76"/>
      <c r="E1" s="76"/>
      <c r="F1" s="76"/>
      <c r="G1" s="76"/>
      <c r="H1" s="76"/>
      <c r="I1" s="76"/>
      <c r="J1" s="76"/>
      <c r="K1" s="76"/>
    </row>
    <row r="2" spans="1:11" ht="15.75" thickTop="1"/>
    <row r="3" spans="1:11" ht="18.75">
      <c r="A3" s="74" t="s">
        <v>1</v>
      </c>
    </row>
    <row r="4" spans="1:11" ht="15" customHeight="1">
      <c r="A4" s="200" t="s">
        <v>531</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532</v>
      </c>
    </row>
    <row r="9" spans="1:11" ht="15.75">
      <c r="A9" s="73" t="s">
        <v>533</v>
      </c>
    </row>
    <row r="10" spans="1:11">
      <c r="A10" t="s">
        <v>534</v>
      </c>
    </row>
    <row r="11" spans="1:11">
      <c r="A11" s="103"/>
    </row>
    <row r="12" spans="1:11" ht="15.75">
      <c r="A12" s="73" t="s">
        <v>535</v>
      </c>
    </row>
    <row r="13" spans="1:11">
      <c r="A13" s="167" t="s">
        <v>536</v>
      </c>
      <c r="B13" s="167"/>
      <c r="C13" s="167"/>
      <c r="D13" s="167"/>
      <c r="E13" s="167"/>
      <c r="F13" s="167"/>
      <c r="G13" s="167"/>
      <c r="H13" s="167"/>
      <c r="I13" s="167"/>
      <c r="J13" s="167"/>
    </row>
    <row r="14" spans="1:11">
      <c r="A14" s="167"/>
      <c r="B14" s="167"/>
      <c r="C14" s="167"/>
      <c r="D14" s="167"/>
      <c r="E14" s="167"/>
      <c r="F14" s="167"/>
      <c r="G14" s="167"/>
      <c r="H14" s="167"/>
      <c r="I14" s="167"/>
      <c r="J14" s="167"/>
    </row>
    <row r="15" spans="1:11">
      <c r="A15" s="144"/>
      <c r="B15" s="144"/>
      <c r="C15" s="144"/>
      <c r="D15" s="144"/>
      <c r="E15" s="144"/>
      <c r="F15" s="144"/>
      <c r="G15" s="144"/>
      <c r="H15" s="144"/>
      <c r="I15" s="144"/>
      <c r="J15" s="144"/>
    </row>
    <row r="16" spans="1:11" ht="15.75">
      <c r="A16" s="73" t="s">
        <v>537</v>
      </c>
    </row>
    <row r="17" spans="1:16">
      <c r="A17" t="s">
        <v>538</v>
      </c>
    </row>
    <row r="18" spans="1:16">
      <c r="A18" s="103"/>
    </row>
    <row r="19" spans="1:16" ht="15.75">
      <c r="A19" s="73" t="s">
        <v>539</v>
      </c>
    </row>
    <row r="20" spans="1:16">
      <c r="A20" t="s">
        <v>540</v>
      </c>
    </row>
    <row r="21" spans="1:16">
      <c r="A21" s="103"/>
    </row>
    <row r="22" spans="1:16" ht="15.75">
      <c r="A22" s="73" t="s">
        <v>45</v>
      </c>
    </row>
    <row r="23" spans="1:16">
      <c r="A23" s="96" t="s">
        <v>541</v>
      </c>
    </row>
    <row r="24" spans="1:16">
      <c r="A24" s="151" t="s">
        <v>542</v>
      </c>
      <c r="B24" s="151" t="s">
        <v>543</v>
      </c>
      <c r="C24" s="151" t="s">
        <v>544</v>
      </c>
      <c r="D24" s="151" t="s">
        <v>545</v>
      </c>
    </row>
    <row r="25" spans="1:16">
      <c r="A25" s="152" t="s">
        <v>546</v>
      </c>
      <c r="B25" s="124">
        <v>2500</v>
      </c>
      <c r="C25" s="124">
        <v>2000</v>
      </c>
      <c r="D25" s="124">
        <v>3000</v>
      </c>
    </row>
    <row r="26" spans="1:16">
      <c r="A26" s="152" t="s">
        <v>547</v>
      </c>
      <c r="B26" s="124">
        <v>5000</v>
      </c>
      <c r="C26" s="124">
        <v>4999</v>
      </c>
      <c r="D26" s="124">
        <v>5200</v>
      </c>
    </row>
    <row r="27" spans="1:16">
      <c r="A27" s="152" t="s">
        <v>548</v>
      </c>
      <c r="B27" s="124">
        <v>1250</v>
      </c>
      <c r="C27" s="124">
        <v>1302</v>
      </c>
      <c r="D27" s="124">
        <v>1100</v>
      </c>
    </row>
    <row r="28" spans="1:16">
      <c r="A28" s="152" t="s">
        <v>549</v>
      </c>
      <c r="B28" s="124">
        <v>250</v>
      </c>
      <c r="C28" s="124">
        <v>300</v>
      </c>
      <c r="D28" s="124">
        <v>200</v>
      </c>
    </row>
    <row r="29" spans="1:16">
      <c r="A29" s="152" t="s">
        <v>550</v>
      </c>
      <c r="B29" s="124">
        <v>300</v>
      </c>
      <c r="C29" s="124">
        <v>290</v>
      </c>
      <c r="D29" s="124">
        <v>310</v>
      </c>
    </row>
    <row r="30" spans="1:16">
      <c r="A30" s="1"/>
      <c r="B30" s="1"/>
      <c r="C30" s="1"/>
      <c r="D30" s="1"/>
    </row>
    <row r="31" spans="1:16" ht="15" customHeight="1">
      <c r="A31" s="151" t="s">
        <v>551</v>
      </c>
      <c r="B31" s="151" t="s">
        <v>552</v>
      </c>
      <c r="C31" s="151" t="s">
        <v>553</v>
      </c>
      <c r="D31" s="186" t="s">
        <v>16</v>
      </c>
      <c r="E31" s="186"/>
      <c r="F31" s="186"/>
      <c r="H31" s="217" t="s">
        <v>554</v>
      </c>
      <c r="I31" s="217"/>
      <c r="J31" s="217"/>
      <c r="K31" s="217"/>
      <c r="L31" s="217"/>
      <c r="M31" s="217"/>
      <c r="N31" s="217"/>
      <c r="O31" s="217"/>
      <c r="P31" s="217"/>
    </row>
    <row r="32" spans="1:16">
      <c r="A32" s="152" t="s">
        <v>543</v>
      </c>
      <c r="B32" s="152" t="s">
        <v>549</v>
      </c>
      <c r="C32" s="69">
        <f>VLOOKUP(B32,$A$25:$B$29,2,FALSE)</f>
        <v>250</v>
      </c>
      <c r="D32" s="219" t="s">
        <v>555</v>
      </c>
      <c r="E32" s="219"/>
      <c r="F32" s="219"/>
      <c r="H32" s="217"/>
      <c r="I32" s="217"/>
      <c r="J32" s="217"/>
      <c r="K32" s="217"/>
      <c r="L32" s="217"/>
      <c r="M32" s="217"/>
      <c r="N32" s="217"/>
      <c r="O32" s="217"/>
      <c r="P32" s="217"/>
    </row>
    <row r="33" spans="1:16">
      <c r="A33" s="152" t="s">
        <v>544</v>
      </c>
      <c r="B33" s="152" t="s">
        <v>546</v>
      </c>
      <c r="C33" s="69">
        <f>VLOOKUP(B33,$A$25:$C$29,3,FALSE)</f>
        <v>2000</v>
      </c>
      <c r="D33" s="219" t="s">
        <v>556</v>
      </c>
      <c r="E33" s="219"/>
      <c r="F33" s="219"/>
      <c r="H33" s="217"/>
      <c r="I33" s="217"/>
      <c r="J33" s="217"/>
      <c r="K33" s="217"/>
      <c r="L33" s="217"/>
      <c r="M33" s="217"/>
      <c r="N33" s="217"/>
      <c r="O33" s="217"/>
      <c r="P33" s="217"/>
    </row>
    <row r="34" spans="1:16">
      <c r="A34" s="152" t="s">
        <v>545</v>
      </c>
      <c r="B34" s="152" t="s">
        <v>547</v>
      </c>
      <c r="C34" s="69">
        <f>VLOOKUP(B34,$A$25:$D$29,4,FALSE)</f>
        <v>5200</v>
      </c>
      <c r="D34" s="219" t="s">
        <v>557</v>
      </c>
      <c r="E34" s="219"/>
      <c r="F34" s="219"/>
      <c r="H34" s="217"/>
      <c r="I34" s="217"/>
      <c r="J34" s="217"/>
      <c r="K34" s="217"/>
      <c r="L34" s="217"/>
      <c r="M34" s="217"/>
      <c r="N34" s="217"/>
      <c r="O34" s="217"/>
      <c r="P34" s="217"/>
    </row>
    <row r="35" spans="1:16">
      <c r="A35" s="152" t="s">
        <v>545</v>
      </c>
      <c r="B35" s="152" t="s">
        <v>548</v>
      </c>
      <c r="C35" s="69">
        <f>VLOOKUP(B35,$A$25:$D$29,4,FALSE)</f>
        <v>1100</v>
      </c>
      <c r="D35" s="219" t="s">
        <v>558</v>
      </c>
      <c r="E35" s="219"/>
      <c r="F35" s="219"/>
      <c r="H35" s="217"/>
      <c r="I35" s="217"/>
      <c r="J35" s="217"/>
      <c r="K35" s="217"/>
      <c r="L35" s="217"/>
      <c r="M35" s="217"/>
      <c r="N35" s="217"/>
      <c r="O35" s="217"/>
      <c r="P35" s="217"/>
    </row>
    <row r="36" spans="1:16">
      <c r="A36" s="152" t="s">
        <v>543</v>
      </c>
      <c r="B36" s="152" t="s">
        <v>549</v>
      </c>
      <c r="C36" s="69">
        <f>VLOOKUP(B36,$A$25:$B$29,2,FALSE)</f>
        <v>250</v>
      </c>
      <c r="D36" s="219" t="s">
        <v>559</v>
      </c>
      <c r="E36" s="219"/>
      <c r="F36" s="219"/>
      <c r="H36" s="217"/>
      <c r="I36" s="217"/>
      <c r="J36" s="217"/>
      <c r="K36" s="217"/>
      <c r="L36" s="217"/>
      <c r="M36" s="217"/>
      <c r="N36" s="217"/>
      <c r="O36" s="217"/>
      <c r="P36" s="217"/>
    </row>
    <row r="37" spans="1:16">
      <c r="A37" s="152" t="s">
        <v>543</v>
      </c>
      <c r="B37" s="152" t="s">
        <v>550</v>
      </c>
      <c r="C37" s="69">
        <f>VLOOKUP(B37,$A$25:$B$29,2,FALSE)</f>
        <v>300</v>
      </c>
      <c r="D37" s="219" t="s">
        <v>560</v>
      </c>
      <c r="E37" s="219"/>
      <c r="F37" s="219"/>
      <c r="H37" s="217"/>
      <c r="I37" s="217"/>
      <c r="J37" s="217"/>
      <c r="K37" s="217"/>
      <c r="L37" s="217"/>
      <c r="M37" s="217"/>
      <c r="N37" s="217"/>
      <c r="O37" s="217"/>
      <c r="P37" s="217"/>
    </row>
    <row r="38" spans="1:16">
      <c r="A38" s="152" t="s">
        <v>544</v>
      </c>
      <c r="B38" s="152" t="s">
        <v>546</v>
      </c>
      <c r="C38" s="69">
        <f>VLOOKUP(B38,$A$25:$C$29,3,FALSE)</f>
        <v>2000</v>
      </c>
      <c r="D38" s="219" t="s">
        <v>561</v>
      </c>
      <c r="E38" s="219"/>
      <c r="F38" s="219"/>
      <c r="H38" s="217"/>
      <c r="I38" s="217"/>
      <c r="J38" s="217"/>
      <c r="K38" s="217"/>
      <c r="L38" s="217"/>
      <c r="M38" s="217"/>
      <c r="N38" s="217"/>
      <c r="O38" s="217"/>
      <c r="P38" s="217"/>
    </row>
    <row r="39" spans="1:16">
      <c r="A39" s="152" t="s">
        <v>544</v>
      </c>
      <c r="B39" s="152" t="s">
        <v>547</v>
      </c>
      <c r="C39" s="69">
        <f>VLOOKUP(B39,$A$25:$C$29,3,FALSE)</f>
        <v>4999</v>
      </c>
      <c r="D39" s="219" t="s">
        <v>562</v>
      </c>
      <c r="E39" s="219"/>
      <c r="F39" s="219"/>
      <c r="H39" s="217"/>
      <c r="I39" s="217"/>
      <c r="J39" s="217"/>
      <c r="K39" s="217"/>
      <c r="L39" s="217"/>
      <c r="M39" s="217"/>
      <c r="N39" s="217"/>
      <c r="O39" s="217"/>
      <c r="P39" s="217"/>
    </row>
    <row r="42" spans="1:16" ht="15.75">
      <c r="A42" s="73" t="s">
        <v>52</v>
      </c>
    </row>
    <row r="43" spans="1:16">
      <c r="A43" s="167" t="s">
        <v>563</v>
      </c>
      <c r="B43" s="167"/>
      <c r="C43" s="167"/>
      <c r="D43" s="167"/>
      <c r="E43" s="167"/>
      <c r="F43" s="167"/>
      <c r="G43" s="167"/>
      <c r="H43" s="167"/>
      <c r="I43" s="167"/>
      <c r="J43" s="167"/>
    </row>
    <row r="44" spans="1:16">
      <c r="A44" s="167"/>
      <c r="B44" s="167"/>
      <c r="C44" s="167"/>
      <c r="D44" s="167"/>
      <c r="E44" s="167"/>
      <c r="F44" s="167"/>
      <c r="G44" s="167"/>
      <c r="H44" s="167"/>
      <c r="I44" s="167"/>
      <c r="J44" s="167"/>
    </row>
    <row r="45" spans="1:16">
      <c r="A45" s="218" t="s">
        <v>564</v>
      </c>
      <c r="B45" s="218"/>
      <c r="C45" s="144"/>
      <c r="D45" s="218" t="s">
        <v>565</v>
      </c>
      <c r="E45" s="218"/>
      <c r="F45" s="144"/>
      <c r="G45" s="144"/>
      <c r="H45" s="144"/>
      <c r="I45" s="144"/>
      <c r="J45" s="144"/>
    </row>
    <row r="46" spans="1:16">
      <c r="A46" s="151" t="s">
        <v>566</v>
      </c>
      <c r="B46" s="151" t="s">
        <v>553</v>
      </c>
      <c r="D46" s="151" t="s">
        <v>566</v>
      </c>
      <c r="E46" s="151" t="s">
        <v>567</v>
      </c>
    </row>
    <row r="47" spans="1:16">
      <c r="A47" s="152" t="s">
        <v>568</v>
      </c>
      <c r="B47" s="125">
        <v>5.0999999999999996</v>
      </c>
      <c r="D47" s="152" t="s">
        <v>568</v>
      </c>
      <c r="E47" s="125">
        <v>7.5</v>
      </c>
    </row>
    <row r="48" spans="1:16">
      <c r="A48" s="152" t="s">
        <v>569</v>
      </c>
      <c r="B48" s="125">
        <v>1.1000000000000001</v>
      </c>
      <c r="D48" s="152" t="s">
        <v>569</v>
      </c>
      <c r="E48" s="125">
        <v>1.1499999999999999</v>
      </c>
    </row>
    <row r="49" spans="1:11">
      <c r="A49" s="152" t="s">
        <v>570</v>
      </c>
      <c r="B49" s="125">
        <v>1.5</v>
      </c>
      <c r="D49" s="152" t="s">
        <v>570</v>
      </c>
      <c r="E49" s="125">
        <v>2.5</v>
      </c>
    </row>
    <row r="50" spans="1:11">
      <c r="A50" s="152" t="s">
        <v>571</v>
      </c>
      <c r="B50" s="125">
        <v>2.5</v>
      </c>
      <c r="D50" s="152" t="s">
        <v>571</v>
      </c>
      <c r="E50" s="125">
        <v>3.75</v>
      </c>
    </row>
    <row r="52" spans="1:11">
      <c r="A52" s="169" t="s">
        <v>572</v>
      </c>
      <c r="B52" s="169"/>
      <c r="C52" s="169"/>
      <c r="D52" s="169"/>
      <c r="E52" s="169"/>
      <c r="F52" s="169"/>
      <c r="G52" s="169"/>
      <c r="H52" s="169"/>
      <c r="I52" s="169"/>
      <c r="J52" s="169"/>
      <c r="K52" s="169"/>
    </row>
    <row r="53" spans="1:11">
      <c r="A53" s="151" t="s">
        <v>566</v>
      </c>
      <c r="B53" s="151" t="s">
        <v>573</v>
      </c>
      <c r="C53" s="151" t="s">
        <v>553</v>
      </c>
      <c r="D53" s="151" t="s">
        <v>567</v>
      </c>
      <c r="E53" s="151" t="s">
        <v>574</v>
      </c>
      <c r="F53" s="186" t="s">
        <v>575</v>
      </c>
      <c r="G53" s="186"/>
      <c r="H53" s="186"/>
      <c r="I53" s="186" t="s">
        <v>576</v>
      </c>
      <c r="J53" s="186"/>
      <c r="K53" s="186"/>
    </row>
    <row r="54" spans="1:11">
      <c r="A54" s="152" t="s">
        <v>568</v>
      </c>
      <c r="B54" s="161">
        <v>500</v>
      </c>
      <c r="C54" s="127">
        <f>VLOOKUP(A54,$A$47:$B$50,2,FALSE)</f>
        <v>5.0999999999999996</v>
      </c>
      <c r="D54" s="126">
        <f>VLOOKUP(A54,$D$47:$E$50,2,FALSE)</f>
        <v>7.5</v>
      </c>
      <c r="E54" s="125">
        <f>(D54-C54)*B54</f>
        <v>1200.0000000000002</v>
      </c>
      <c r="F54" s="220" t="s">
        <v>577</v>
      </c>
      <c r="G54" s="220"/>
      <c r="H54" s="220"/>
      <c r="I54" s="219" t="s">
        <v>578</v>
      </c>
      <c r="J54" s="219"/>
      <c r="K54" s="219"/>
    </row>
    <row r="55" spans="1:11">
      <c r="A55" s="152" t="s">
        <v>569</v>
      </c>
      <c r="B55" s="161">
        <v>100</v>
      </c>
      <c r="C55" s="127">
        <f t="shared" ref="C55:C58" si="0">VLOOKUP(A55,$A$47:$B$50,2,FALSE)</f>
        <v>1.1000000000000001</v>
      </c>
      <c r="D55" s="126">
        <f t="shared" ref="D55:D58" si="1">VLOOKUP(A55,$D$47:$E$50,2,FALSE)</f>
        <v>1.1499999999999999</v>
      </c>
      <c r="E55" s="125">
        <f t="shared" ref="E55:E57" si="2">(D55-C55)*B55</f>
        <v>4.9999999999999822</v>
      </c>
      <c r="F55" s="220" t="s">
        <v>579</v>
      </c>
      <c r="G55" s="220"/>
      <c r="H55" s="220"/>
      <c r="I55" s="219" t="s">
        <v>580</v>
      </c>
      <c r="J55" s="219"/>
      <c r="K55" s="219"/>
    </row>
    <row r="56" spans="1:11">
      <c r="A56" s="152" t="s">
        <v>570</v>
      </c>
      <c r="B56" s="161">
        <v>250</v>
      </c>
      <c r="C56" s="127">
        <f t="shared" si="0"/>
        <v>1.5</v>
      </c>
      <c r="D56" s="126">
        <f t="shared" si="1"/>
        <v>2.5</v>
      </c>
      <c r="E56" s="125">
        <f t="shared" si="2"/>
        <v>250</v>
      </c>
      <c r="F56" s="220" t="s">
        <v>581</v>
      </c>
      <c r="G56" s="220"/>
      <c r="H56" s="220"/>
      <c r="I56" s="219" t="s">
        <v>582</v>
      </c>
      <c r="J56" s="219"/>
      <c r="K56" s="219"/>
    </row>
    <row r="57" spans="1:11">
      <c r="A57" s="152" t="s">
        <v>571</v>
      </c>
      <c r="B57" s="161">
        <v>100</v>
      </c>
      <c r="C57" s="127">
        <f t="shared" si="0"/>
        <v>2.5</v>
      </c>
      <c r="D57" s="126">
        <f t="shared" si="1"/>
        <v>3.75</v>
      </c>
      <c r="E57" s="125">
        <f t="shared" si="2"/>
        <v>125</v>
      </c>
      <c r="F57" s="220" t="s">
        <v>583</v>
      </c>
      <c r="G57" s="220"/>
      <c r="H57" s="220"/>
      <c r="I57" s="219" t="s">
        <v>584</v>
      </c>
      <c r="J57" s="219"/>
      <c r="K57" s="219"/>
    </row>
    <row r="58" spans="1:11">
      <c r="A58" s="152" t="s">
        <v>585</v>
      </c>
      <c r="B58" s="161">
        <v>990</v>
      </c>
      <c r="C58" s="127" t="e">
        <f t="shared" si="0"/>
        <v>#N/A</v>
      </c>
      <c r="D58" s="126" t="e">
        <f t="shared" si="1"/>
        <v>#N/A</v>
      </c>
      <c r="E58" s="125"/>
      <c r="F58" s="220" t="s">
        <v>586</v>
      </c>
      <c r="G58" s="220"/>
      <c r="H58" s="220"/>
      <c r="I58" s="219" t="s">
        <v>587</v>
      </c>
      <c r="J58" s="219"/>
      <c r="K58" s="219"/>
    </row>
    <row r="59" spans="1:11">
      <c r="A59" s="129" t="s">
        <v>588</v>
      </c>
    </row>
    <row r="63" spans="1:11" ht="15" customHeight="1">
      <c r="B63" s="181" t="s">
        <v>589</v>
      </c>
      <c r="C63" s="181"/>
      <c r="D63" s="181"/>
    </row>
    <row r="64" spans="1:11">
      <c r="B64" s="181"/>
      <c r="C64" s="181"/>
      <c r="D64" s="181"/>
    </row>
    <row r="65" spans="1:10">
      <c r="B65" s="181"/>
      <c r="C65" s="181"/>
      <c r="D65" s="181"/>
    </row>
    <row r="66" spans="1:10">
      <c r="B66" s="181"/>
      <c r="C66" s="181"/>
      <c r="D66" s="181"/>
    </row>
    <row r="69" spans="1:10" ht="15.75">
      <c r="A69" s="73" t="s">
        <v>308</v>
      </c>
    </row>
    <row r="70" spans="1:10">
      <c r="A70" s="167" t="s">
        <v>590</v>
      </c>
      <c r="B70" s="167"/>
      <c r="C70" s="167"/>
      <c r="D70" s="167"/>
      <c r="E70" s="167"/>
      <c r="F70" s="167"/>
      <c r="G70" s="167"/>
      <c r="H70" s="167"/>
      <c r="I70" s="167"/>
      <c r="J70" s="167"/>
    </row>
    <row r="71" spans="1:10">
      <c r="A71" s="167"/>
      <c r="B71" s="167"/>
      <c r="C71" s="167"/>
      <c r="D71" s="167"/>
      <c r="E71" s="167"/>
      <c r="F71" s="167"/>
      <c r="G71" s="167"/>
      <c r="H71" s="167"/>
      <c r="I71" s="167"/>
      <c r="J71" s="167"/>
    </row>
    <row r="72" spans="1:10">
      <c r="A72" s="218" t="s">
        <v>564</v>
      </c>
      <c r="B72" s="218"/>
      <c r="C72" s="144"/>
      <c r="D72" s="218" t="s">
        <v>565</v>
      </c>
      <c r="E72" s="218"/>
      <c r="F72" s="144"/>
      <c r="G72" s="218" t="s">
        <v>572</v>
      </c>
      <c r="H72" s="218"/>
      <c r="I72" s="144"/>
      <c r="J72" s="144"/>
    </row>
    <row r="73" spans="1:10">
      <c r="A73" s="151" t="s">
        <v>591</v>
      </c>
      <c r="B73" s="151" t="s">
        <v>30</v>
      </c>
      <c r="D73" s="151" t="s">
        <v>591</v>
      </c>
      <c r="E73" s="151" t="s">
        <v>31</v>
      </c>
      <c r="G73" s="151" t="s">
        <v>591</v>
      </c>
      <c r="H73" s="151" t="s">
        <v>592</v>
      </c>
    </row>
    <row r="74" spans="1:10">
      <c r="A74" s="152" t="s">
        <v>593</v>
      </c>
      <c r="B74" s="128" t="s">
        <v>33</v>
      </c>
      <c r="D74" s="152" t="s">
        <v>593</v>
      </c>
      <c r="E74" s="128">
        <v>85000</v>
      </c>
      <c r="G74" s="152" t="s">
        <v>593</v>
      </c>
      <c r="H74" s="128" t="s">
        <v>594</v>
      </c>
    </row>
    <row r="75" spans="1:10">
      <c r="A75" s="152" t="s">
        <v>595</v>
      </c>
      <c r="B75" s="128" t="s">
        <v>596</v>
      </c>
      <c r="D75" s="152" t="s">
        <v>595</v>
      </c>
      <c r="E75" s="128">
        <v>60000</v>
      </c>
      <c r="G75" s="152" t="s">
        <v>595</v>
      </c>
      <c r="H75" s="128" t="s">
        <v>594</v>
      </c>
    </row>
    <row r="76" spans="1:10">
      <c r="A76" s="152" t="s">
        <v>597</v>
      </c>
      <c r="B76" s="128" t="s">
        <v>33</v>
      </c>
      <c r="D76" s="152" t="s">
        <v>597</v>
      </c>
      <c r="E76" s="128">
        <v>65000</v>
      </c>
      <c r="G76" s="152" t="s">
        <v>597</v>
      </c>
      <c r="H76" s="128" t="s">
        <v>598</v>
      </c>
    </row>
    <row r="77" spans="1:10">
      <c r="A77" s="152" t="s">
        <v>599</v>
      </c>
      <c r="B77" s="128" t="s">
        <v>35</v>
      </c>
      <c r="D77" s="152" t="s">
        <v>599</v>
      </c>
      <c r="E77" s="128">
        <v>50000</v>
      </c>
      <c r="G77" s="152" t="s">
        <v>599</v>
      </c>
      <c r="H77" s="128" t="s">
        <v>600</v>
      </c>
    </row>
    <row r="78" spans="1:10">
      <c r="A78" s="152" t="s">
        <v>601</v>
      </c>
      <c r="B78" s="128" t="s">
        <v>35</v>
      </c>
      <c r="D78" s="152" t="s">
        <v>601</v>
      </c>
      <c r="E78" s="128">
        <v>45000</v>
      </c>
      <c r="G78" s="152" t="s">
        <v>601</v>
      </c>
      <c r="H78" s="128" t="s">
        <v>598</v>
      </c>
    </row>
    <row r="81" spans="1:6">
      <c r="A81" s="169" t="s">
        <v>602</v>
      </c>
      <c r="B81" s="169"/>
      <c r="C81" s="169"/>
      <c r="D81" s="169"/>
    </row>
    <row r="82" spans="1:6">
      <c r="A82" s="151" t="s">
        <v>591</v>
      </c>
      <c r="B82" s="151" t="s">
        <v>30</v>
      </c>
      <c r="C82" s="151" t="s">
        <v>31</v>
      </c>
      <c r="D82" s="151" t="s">
        <v>592</v>
      </c>
    </row>
    <row r="83" spans="1:6">
      <c r="A83" s="152" t="s">
        <v>599</v>
      </c>
      <c r="B83" s="79" t="str">
        <f>VLOOKUP(A83,$A$74:$B$78,2,FALSE)</f>
        <v>Analyst</v>
      </c>
      <c r="C83" s="128">
        <f>VLOOKUP(A83,$D$74:$E$78,2,FALSE)</f>
        <v>50000</v>
      </c>
      <c r="D83" s="79" t="str">
        <f>VLOOKUP(A83,$G$74:$H$78,2,FALSE)</f>
        <v>HR</v>
      </c>
    </row>
    <row r="84" spans="1:6">
      <c r="A84" s="152" t="s">
        <v>601</v>
      </c>
      <c r="B84" s="79" t="str">
        <f t="shared" ref="B84:B88" si="3">VLOOKUP(A84,$A$74:$B$78,2,FALSE)</f>
        <v>Analyst</v>
      </c>
      <c r="C84" s="128">
        <f t="shared" ref="C84:C87" si="4">VLOOKUP(A84,$D$74:$E$78,2,FALSE)</f>
        <v>45000</v>
      </c>
      <c r="D84" s="79" t="str">
        <f t="shared" ref="D84:D88" si="5">VLOOKUP(A84,$G$74:$H$78,2,FALSE)</f>
        <v>IT</v>
      </c>
    </row>
    <row r="85" spans="1:6">
      <c r="A85" s="152" t="s">
        <v>597</v>
      </c>
      <c r="B85" s="79" t="str">
        <f t="shared" si="3"/>
        <v>AVP</v>
      </c>
      <c r="C85" s="128">
        <f t="shared" si="4"/>
        <v>65000</v>
      </c>
      <c r="D85" s="79" t="str">
        <f t="shared" si="5"/>
        <v>IT</v>
      </c>
    </row>
    <row r="86" spans="1:6">
      <c r="A86" s="152" t="s">
        <v>593</v>
      </c>
      <c r="B86" s="79" t="str">
        <f t="shared" si="3"/>
        <v>AVP</v>
      </c>
      <c r="C86" s="128">
        <f t="shared" si="4"/>
        <v>85000</v>
      </c>
      <c r="D86" s="79" t="str">
        <f t="shared" si="5"/>
        <v>Analytics</v>
      </c>
    </row>
    <row r="87" spans="1:6">
      <c r="A87" s="152" t="s">
        <v>603</v>
      </c>
      <c r="B87" s="79" t="e">
        <f t="shared" si="3"/>
        <v>#N/A</v>
      </c>
      <c r="C87" s="128" t="e">
        <f t="shared" si="4"/>
        <v>#N/A</v>
      </c>
      <c r="D87" s="79" t="e">
        <f t="shared" si="5"/>
        <v>#N/A</v>
      </c>
    </row>
    <row r="88" spans="1:6">
      <c r="A88" s="152" t="s">
        <v>595</v>
      </c>
      <c r="B88" s="79" t="str">
        <f t="shared" si="3"/>
        <v>Analayst</v>
      </c>
      <c r="C88" s="128">
        <f>VLOOKUP(A88,$D$74:$E$78,2,FALSE)</f>
        <v>60000</v>
      </c>
      <c r="D88" s="79" t="str">
        <f t="shared" si="5"/>
        <v>Analytics</v>
      </c>
    </row>
    <row r="91" spans="1:6" ht="15.75">
      <c r="A91" s="73" t="s">
        <v>311</v>
      </c>
    </row>
    <row r="92" spans="1:6">
      <c r="A92" s="96" t="s">
        <v>604</v>
      </c>
    </row>
    <row r="93" spans="1:6" ht="15" customHeight="1">
      <c r="A93" s="151" t="s">
        <v>542</v>
      </c>
      <c r="B93" s="151" t="s">
        <v>546</v>
      </c>
      <c r="C93" s="151" t="s">
        <v>547</v>
      </c>
      <c r="D93" s="151" t="s">
        <v>548</v>
      </c>
      <c r="E93" s="151" t="s">
        <v>549</v>
      </c>
      <c r="F93" s="151" t="s">
        <v>550</v>
      </c>
    </row>
    <row r="94" spans="1:6">
      <c r="A94" s="158" t="s">
        <v>543</v>
      </c>
      <c r="B94" s="124">
        <v>2500</v>
      </c>
      <c r="C94" s="124">
        <v>5000</v>
      </c>
      <c r="D94" s="124">
        <v>1250</v>
      </c>
      <c r="E94" s="124">
        <v>250</v>
      </c>
      <c r="F94" s="124">
        <v>300</v>
      </c>
    </row>
    <row r="95" spans="1:6">
      <c r="A95" s="158" t="s">
        <v>544</v>
      </c>
      <c r="B95" s="124">
        <v>2000</v>
      </c>
      <c r="C95" s="124">
        <v>4999</v>
      </c>
      <c r="D95" s="124">
        <v>1302</v>
      </c>
      <c r="E95" s="124">
        <v>300</v>
      </c>
      <c r="F95" s="124">
        <v>290</v>
      </c>
    </row>
    <row r="96" spans="1:6">
      <c r="A96" s="158" t="s">
        <v>545</v>
      </c>
      <c r="B96" s="124">
        <v>3000</v>
      </c>
      <c r="C96" s="124">
        <v>5200</v>
      </c>
      <c r="D96" s="124">
        <v>1100</v>
      </c>
      <c r="E96" s="124">
        <v>200</v>
      </c>
      <c r="F96" s="124">
        <v>310</v>
      </c>
    </row>
    <row r="98" spans="1:9">
      <c r="A98" s="151" t="s">
        <v>551</v>
      </c>
      <c r="B98" s="152" t="s">
        <v>543</v>
      </c>
      <c r="C98" s="152" t="s">
        <v>544</v>
      </c>
      <c r="D98" s="152" t="s">
        <v>545</v>
      </c>
      <c r="E98" s="152" t="s">
        <v>545</v>
      </c>
      <c r="F98" s="152" t="s">
        <v>543</v>
      </c>
      <c r="G98" s="152" t="s">
        <v>543</v>
      </c>
      <c r="H98" s="152" t="s">
        <v>544</v>
      </c>
      <c r="I98" s="152" t="s">
        <v>544</v>
      </c>
    </row>
    <row r="99" spans="1:9">
      <c r="A99" s="151" t="s">
        <v>552</v>
      </c>
      <c r="B99" s="261" t="s">
        <v>550</v>
      </c>
      <c r="C99" s="261" t="s">
        <v>546</v>
      </c>
      <c r="D99" s="261" t="s">
        <v>605</v>
      </c>
      <c r="E99" s="261" t="s">
        <v>548</v>
      </c>
      <c r="F99" s="261" t="s">
        <v>549</v>
      </c>
      <c r="G99" s="261" t="s">
        <v>547</v>
      </c>
      <c r="H99" s="261" t="s">
        <v>546</v>
      </c>
      <c r="I99" s="261" t="s">
        <v>547</v>
      </c>
    </row>
    <row r="100" spans="1:9">
      <c r="A100" s="154" t="s">
        <v>606</v>
      </c>
      <c r="B100" s="260">
        <f>VLOOKUP(B98,$A$93:$F$96,MATCH(B99,$A$93:$F$93,0),FALSE)</f>
        <v>300</v>
      </c>
      <c r="C100" s="260">
        <f t="shared" ref="C100:I100" si="6">VLOOKUP(C98,$A$93:$F$96,MATCH(C99,$A$93:$F$93,0),FALSE)</f>
        <v>2000</v>
      </c>
      <c r="D100" s="260">
        <f t="shared" si="6"/>
        <v>3000</v>
      </c>
      <c r="E100" s="260">
        <f t="shared" si="6"/>
        <v>1100</v>
      </c>
      <c r="F100" s="260">
        <f t="shared" si="6"/>
        <v>250</v>
      </c>
      <c r="G100" s="260">
        <f t="shared" si="6"/>
        <v>5000</v>
      </c>
      <c r="H100" s="260">
        <f t="shared" si="6"/>
        <v>2000</v>
      </c>
      <c r="I100" s="260">
        <f t="shared" si="6"/>
        <v>4999</v>
      </c>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38" zoomScale="90" zoomScaleNormal="90" workbookViewId="0">
      <selection activeCell="C52" sqref="C52:I52"/>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96" t="s">
        <v>607</v>
      </c>
      <c r="B1" s="196"/>
      <c r="C1" s="196"/>
      <c r="D1" s="76"/>
      <c r="E1" s="76"/>
      <c r="F1" s="76"/>
      <c r="G1" s="76"/>
      <c r="H1" s="76"/>
      <c r="I1" s="76"/>
      <c r="J1" s="76"/>
      <c r="K1" s="76"/>
    </row>
    <row r="2" spans="1:11" ht="15.75" thickTop="1"/>
    <row r="3" spans="1:11" ht="18.75">
      <c r="A3" s="74" t="s">
        <v>1</v>
      </c>
    </row>
    <row r="4" spans="1:11" ht="15" customHeight="1">
      <c r="A4" s="200" t="s">
        <v>608</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609</v>
      </c>
    </row>
    <row r="10" spans="1:11" ht="15.75">
      <c r="A10" s="73" t="s">
        <v>533</v>
      </c>
    </row>
    <row r="11" spans="1:11">
      <c r="A11" t="s">
        <v>534</v>
      </c>
    </row>
    <row r="12" spans="1:11">
      <c r="A12" s="103"/>
    </row>
    <row r="13" spans="1:11" ht="15.75">
      <c r="A13" s="73" t="s">
        <v>535</v>
      </c>
    </row>
    <row r="14" spans="1:11">
      <c r="A14" s="167" t="s">
        <v>536</v>
      </c>
      <c r="B14" s="167"/>
      <c r="C14" s="167"/>
      <c r="D14" s="167"/>
      <c r="E14" s="167"/>
      <c r="F14" s="167"/>
      <c r="G14" s="167"/>
      <c r="H14" s="167"/>
      <c r="I14" s="167"/>
      <c r="J14" s="167"/>
    </row>
    <row r="15" spans="1:11">
      <c r="A15" s="167"/>
      <c r="B15" s="167"/>
      <c r="C15" s="167"/>
      <c r="D15" s="167"/>
      <c r="E15" s="167"/>
      <c r="F15" s="167"/>
      <c r="G15" s="167"/>
      <c r="H15" s="167"/>
      <c r="I15" s="167"/>
      <c r="J15" s="167"/>
    </row>
    <row r="16" spans="1:11">
      <c r="A16" s="144"/>
      <c r="B16" s="144"/>
      <c r="C16" s="144"/>
      <c r="D16" s="144"/>
      <c r="E16" s="144"/>
      <c r="F16" s="144"/>
      <c r="G16" s="144"/>
      <c r="H16" s="144"/>
      <c r="I16" s="144"/>
      <c r="J16" s="144"/>
    </row>
    <row r="17" spans="1:16" ht="15.75">
      <c r="A17" s="73" t="s">
        <v>610</v>
      </c>
    </row>
    <row r="18" spans="1:16">
      <c r="A18" t="s">
        <v>611</v>
      </c>
    </row>
    <row r="19" spans="1:16">
      <c r="A19" s="103"/>
    </row>
    <row r="20" spans="1:16" ht="15.75">
      <c r="A20" s="73" t="s">
        <v>539</v>
      </c>
    </row>
    <row r="21" spans="1:16">
      <c r="A21" t="s">
        <v>612</v>
      </c>
    </row>
    <row r="22" spans="1:16">
      <c r="A22" s="103"/>
    </row>
    <row r="23" spans="1:16" ht="15.75">
      <c r="A23" s="73" t="s">
        <v>11</v>
      </c>
    </row>
    <row r="24" spans="1:16">
      <c r="A24" s="130" t="s">
        <v>613</v>
      </c>
    </row>
    <row r="25" spans="1:16">
      <c r="A25" s="151" t="s">
        <v>614</v>
      </c>
      <c r="B25" s="151" t="s">
        <v>543</v>
      </c>
      <c r="C25" s="151" t="s">
        <v>544</v>
      </c>
      <c r="D25" s="151" t="s">
        <v>545</v>
      </c>
      <c r="E25" s="146" t="s">
        <v>615</v>
      </c>
      <c r="F25" s="146" t="s">
        <v>616</v>
      </c>
    </row>
    <row r="26" spans="1:16">
      <c r="A26" s="152" t="s">
        <v>617</v>
      </c>
      <c r="B26" s="124">
        <v>500</v>
      </c>
      <c r="C26" s="124">
        <v>450</v>
      </c>
      <c r="D26" s="124">
        <v>550</v>
      </c>
      <c r="E26" s="124">
        <v>200</v>
      </c>
      <c r="F26" s="124">
        <v>1000</v>
      </c>
    </row>
    <row r="27" spans="1:16">
      <c r="A27" s="1"/>
      <c r="B27" s="1"/>
      <c r="C27" s="1"/>
      <c r="D27" s="1"/>
    </row>
    <row r="28" spans="1:16" ht="15" customHeight="1">
      <c r="A28" s="151" t="s">
        <v>618</v>
      </c>
      <c r="B28" s="151" t="s">
        <v>551</v>
      </c>
      <c r="C28" s="151" t="s">
        <v>617</v>
      </c>
      <c r="D28" s="186" t="s">
        <v>16</v>
      </c>
      <c r="E28" s="186"/>
      <c r="F28" s="186"/>
      <c r="H28" s="217" t="s">
        <v>619</v>
      </c>
      <c r="I28" s="217"/>
      <c r="J28" s="217"/>
      <c r="K28" s="217"/>
      <c r="L28" s="217"/>
      <c r="M28" s="217"/>
      <c r="N28" s="217"/>
      <c r="O28" s="217"/>
      <c r="P28" s="217"/>
    </row>
    <row r="29" spans="1:16">
      <c r="A29" s="152" t="s">
        <v>593</v>
      </c>
      <c r="B29" s="152" t="s">
        <v>543</v>
      </c>
      <c r="C29" s="69">
        <f>HLOOKUP(B29,$B$25:$F$26,2,FALSE)</f>
        <v>500</v>
      </c>
      <c r="D29" s="219" t="s">
        <v>620</v>
      </c>
      <c r="E29" s="219"/>
      <c r="F29" s="219"/>
      <c r="H29" s="217"/>
      <c r="I29" s="217"/>
      <c r="J29" s="217"/>
      <c r="K29" s="217"/>
      <c r="L29" s="217"/>
      <c r="M29" s="217"/>
      <c r="N29" s="217"/>
      <c r="O29" s="217"/>
      <c r="P29" s="217"/>
    </row>
    <row r="30" spans="1:16">
      <c r="A30" s="152" t="s">
        <v>593</v>
      </c>
      <c r="B30" s="152" t="s">
        <v>544</v>
      </c>
      <c r="C30" s="69">
        <f t="shared" ref="C30:C36" si="0">HLOOKUP(B30,$B$25:$F$26,2,FALSE)</f>
        <v>450</v>
      </c>
      <c r="D30" s="219" t="s">
        <v>621</v>
      </c>
      <c r="E30" s="219"/>
      <c r="F30" s="219"/>
      <c r="H30" s="217"/>
      <c r="I30" s="217"/>
      <c r="J30" s="217"/>
      <c r="K30" s="217"/>
      <c r="L30" s="217"/>
      <c r="M30" s="217"/>
      <c r="N30" s="217"/>
      <c r="O30" s="217"/>
      <c r="P30" s="217"/>
    </row>
    <row r="31" spans="1:16">
      <c r="A31" s="152" t="s">
        <v>622</v>
      </c>
      <c r="B31" s="152" t="s">
        <v>545</v>
      </c>
      <c r="C31" s="69">
        <f t="shared" si="0"/>
        <v>550</v>
      </c>
      <c r="D31" s="219" t="s">
        <v>623</v>
      </c>
      <c r="E31" s="219"/>
      <c r="F31" s="219"/>
      <c r="H31" s="217"/>
      <c r="I31" s="217"/>
      <c r="J31" s="217"/>
      <c r="K31" s="217"/>
      <c r="L31" s="217"/>
      <c r="M31" s="217"/>
      <c r="N31" s="217"/>
      <c r="O31" s="217"/>
      <c r="P31" s="217"/>
    </row>
    <row r="32" spans="1:16">
      <c r="A32" s="152" t="s">
        <v>624</v>
      </c>
      <c r="B32" s="152" t="s">
        <v>545</v>
      </c>
      <c r="C32" s="69">
        <f t="shared" si="0"/>
        <v>550</v>
      </c>
      <c r="D32" s="219" t="s">
        <v>625</v>
      </c>
      <c r="E32" s="219"/>
      <c r="F32" s="219"/>
      <c r="H32" s="217"/>
      <c r="I32" s="217"/>
      <c r="J32" s="217"/>
      <c r="K32" s="217"/>
      <c r="L32" s="217"/>
      <c r="M32" s="217"/>
      <c r="N32" s="217"/>
      <c r="O32" s="217"/>
      <c r="P32" s="217"/>
    </row>
    <row r="33" spans="1:16">
      <c r="A33" s="152" t="s">
        <v>601</v>
      </c>
      <c r="B33" s="152" t="s">
        <v>616</v>
      </c>
      <c r="C33" s="69">
        <f t="shared" si="0"/>
        <v>1000</v>
      </c>
      <c r="D33" s="219" t="s">
        <v>626</v>
      </c>
      <c r="E33" s="219"/>
      <c r="F33" s="219"/>
      <c r="H33" s="217"/>
      <c r="I33" s="217"/>
      <c r="J33" s="217"/>
      <c r="K33" s="217"/>
      <c r="L33" s="217"/>
      <c r="M33" s="217"/>
      <c r="N33" s="217"/>
      <c r="O33" s="217"/>
      <c r="P33" s="217"/>
    </row>
    <row r="34" spans="1:16">
      <c r="A34" s="152" t="s">
        <v>601</v>
      </c>
      <c r="B34" s="152" t="s">
        <v>616</v>
      </c>
      <c r="C34" s="69">
        <f t="shared" si="0"/>
        <v>1000</v>
      </c>
      <c r="D34" s="219" t="s">
        <v>627</v>
      </c>
      <c r="E34" s="219"/>
      <c r="F34" s="219"/>
      <c r="H34" s="217"/>
      <c r="I34" s="217"/>
      <c r="J34" s="217"/>
      <c r="K34" s="217"/>
      <c r="L34" s="217"/>
      <c r="M34" s="217"/>
      <c r="N34" s="217"/>
      <c r="O34" s="217"/>
      <c r="P34" s="217"/>
    </row>
    <row r="35" spans="1:16">
      <c r="A35" s="152" t="s">
        <v>595</v>
      </c>
      <c r="B35" s="152" t="s">
        <v>544</v>
      </c>
      <c r="C35" s="69">
        <f t="shared" si="0"/>
        <v>450</v>
      </c>
      <c r="D35" s="219" t="s">
        <v>628</v>
      </c>
      <c r="E35" s="219"/>
      <c r="F35" s="219"/>
      <c r="H35" s="217"/>
      <c r="I35" s="217"/>
      <c r="J35" s="217"/>
      <c r="K35" s="217"/>
      <c r="L35" s="217"/>
      <c r="M35" s="217"/>
      <c r="N35" s="217"/>
      <c r="O35" s="217"/>
      <c r="P35" s="217"/>
    </row>
    <row r="36" spans="1:16">
      <c r="A36" s="152" t="s">
        <v>629</v>
      </c>
      <c r="B36" s="152" t="s">
        <v>543</v>
      </c>
      <c r="C36" s="69">
        <f t="shared" si="0"/>
        <v>500</v>
      </c>
      <c r="D36" s="219" t="s">
        <v>630</v>
      </c>
      <c r="E36" s="219"/>
      <c r="F36" s="219"/>
      <c r="H36" s="217"/>
      <c r="I36" s="217"/>
      <c r="J36" s="217"/>
      <c r="K36" s="217"/>
      <c r="L36" s="217"/>
      <c r="M36" s="217"/>
      <c r="N36" s="217"/>
      <c r="O36" s="217"/>
      <c r="P36" s="217"/>
    </row>
    <row r="39" spans="1:16" ht="15.75">
      <c r="A39" s="73" t="s">
        <v>27</v>
      </c>
    </row>
    <row r="40" spans="1:16">
      <c r="A40" s="167" t="s">
        <v>631</v>
      </c>
      <c r="B40" s="167"/>
      <c r="C40" s="167"/>
      <c r="D40" s="167"/>
      <c r="E40" s="167"/>
      <c r="F40" s="167"/>
      <c r="G40" s="167"/>
      <c r="H40" s="167"/>
      <c r="I40" s="167"/>
      <c r="J40" s="167"/>
    </row>
    <row r="41" spans="1:16">
      <c r="A41" s="167"/>
      <c r="B41" s="167"/>
      <c r="C41" s="167"/>
      <c r="D41" s="167"/>
      <c r="E41" s="167"/>
      <c r="F41" s="167"/>
      <c r="G41" s="167"/>
      <c r="H41" s="167"/>
      <c r="I41" s="167"/>
      <c r="J41" s="167"/>
    </row>
    <row r="42" spans="1:16" ht="15" customHeight="1">
      <c r="A42" s="151" t="s">
        <v>542</v>
      </c>
      <c r="B42" s="158" t="s">
        <v>543</v>
      </c>
      <c r="C42" s="158" t="s">
        <v>544</v>
      </c>
      <c r="D42" s="158" t="s">
        <v>545</v>
      </c>
    </row>
    <row r="43" spans="1:16">
      <c r="A43" s="151" t="s">
        <v>546</v>
      </c>
      <c r="B43" s="124">
        <v>2500</v>
      </c>
      <c r="C43" s="124">
        <v>2000</v>
      </c>
      <c r="D43" s="124">
        <v>3000</v>
      </c>
    </row>
    <row r="44" spans="1:16">
      <c r="A44" s="151" t="s">
        <v>547</v>
      </c>
      <c r="B44" s="124">
        <v>5000</v>
      </c>
      <c r="C44" s="124">
        <v>4999</v>
      </c>
      <c r="D44" s="124">
        <v>5200</v>
      </c>
    </row>
    <row r="45" spans="1:16">
      <c r="A45" s="151" t="s">
        <v>548</v>
      </c>
      <c r="B45" s="124">
        <v>1250</v>
      </c>
      <c r="C45" s="124">
        <v>1302</v>
      </c>
      <c r="D45" s="124">
        <v>1100</v>
      </c>
    </row>
    <row r="46" spans="1:16">
      <c r="A46" s="151" t="s">
        <v>549</v>
      </c>
      <c r="B46" s="124">
        <v>250</v>
      </c>
      <c r="C46" s="124">
        <v>300</v>
      </c>
      <c r="D46" s="124">
        <v>200</v>
      </c>
    </row>
    <row r="47" spans="1:16">
      <c r="A47" s="151" t="s">
        <v>550</v>
      </c>
      <c r="B47" s="124">
        <v>300</v>
      </c>
      <c r="C47" s="124">
        <v>290</v>
      </c>
      <c r="D47" s="124">
        <v>310</v>
      </c>
    </row>
    <row r="50" spans="1:9">
      <c r="A50" s="151" t="s">
        <v>551</v>
      </c>
      <c r="B50" s="152" t="s">
        <v>543</v>
      </c>
      <c r="C50" s="152" t="s">
        <v>544</v>
      </c>
      <c r="D50" s="152" t="s">
        <v>545</v>
      </c>
      <c r="E50" s="152" t="s">
        <v>545</v>
      </c>
      <c r="F50" s="152" t="s">
        <v>543</v>
      </c>
      <c r="G50" s="152" t="s">
        <v>543</v>
      </c>
      <c r="H50" s="152" t="s">
        <v>544</v>
      </c>
      <c r="I50" s="152" t="s">
        <v>544</v>
      </c>
    </row>
    <row r="51" spans="1:9">
      <c r="A51" s="151" t="s">
        <v>552</v>
      </c>
      <c r="B51" s="152" t="s">
        <v>550</v>
      </c>
      <c r="C51" s="152" t="s">
        <v>546</v>
      </c>
      <c r="D51" s="152" t="s">
        <v>605</v>
      </c>
      <c r="E51" s="152" t="s">
        <v>548</v>
      </c>
      <c r="F51" s="152" t="s">
        <v>549</v>
      </c>
      <c r="G51" s="152" t="s">
        <v>547</v>
      </c>
      <c r="H51" s="152" t="s">
        <v>546</v>
      </c>
      <c r="I51" s="152" t="s">
        <v>547</v>
      </c>
    </row>
    <row r="52" spans="1:9">
      <c r="A52" s="151" t="s">
        <v>606</v>
      </c>
      <c r="B52" s="69">
        <f>HLOOKUP(B50,$B$42:$B$47,6,FALSE)</f>
        <v>300</v>
      </c>
      <c r="C52" s="124">
        <f>HLOOKUP(B50,$A$42:$D$47,MATCH(B51,$A$42:$A$47,0),FALSE)</f>
        <v>300</v>
      </c>
      <c r="D52" s="124">
        <f t="shared" ref="D52:I52" si="1">HLOOKUP(C50,$A$42:$D$47,MATCH(C51,$A$42:$A$47,0),FALSE)</f>
        <v>2000</v>
      </c>
      <c r="E52" s="124">
        <f t="shared" si="1"/>
        <v>3000</v>
      </c>
      <c r="F52" s="124">
        <f t="shared" si="1"/>
        <v>1100</v>
      </c>
      <c r="G52" s="124">
        <f t="shared" si="1"/>
        <v>250</v>
      </c>
      <c r="H52" s="124">
        <f t="shared" si="1"/>
        <v>5000</v>
      </c>
      <c r="I52" s="124">
        <f t="shared" si="1"/>
        <v>2000</v>
      </c>
    </row>
    <row r="53" spans="1:9" ht="54.75">
      <c r="B53" s="262" t="s">
        <v>632</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31" zoomScale="90" zoomScaleNormal="90" workbookViewId="0">
      <selection activeCell="B43" sqref="B43"/>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633</v>
      </c>
      <c r="B1" s="196"/>
      <c r="C1" s="94"/>
      <c r="D1" s="76"/>
      <c r="E1" s="76"/>
      <c r="F1" s="76"/>
      <c r="G1" s="76"/>
      <c r="H1" s="76"/>
      <c r="I1" s="76"/>
      <c r="J1" s="76"/>
      <c r="K1" s="76"/>
    </row>
    <row r="2" spans="1:11" ht="15.75" thickTop="1"/>
    <row r="3" spans="1:11" ht="18.75">
      <c r="A3" s="74" t="s">
        <v>1</v>
      </c>
    </row>
    <row r="4" spans="1:11" ht="15" customHeight="1">
      <c r="A4" s="200" t="s">
        <v>634</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635</v>
      </c>
    </row>
    <row r="9" spans="1:11" ht="15.75">
      <c r="A9" s="73" t="s">
        <v>636</v>
      </c>
    </row>
    <row r="10" spans="1:11">
      <c r="A10" t="s">
        <v>637</v>
      </c>
    </row>
    <row r="11" spans="1:11">
      <c r="A11" s="103"/>
    </row>
    <row r="12" spans="1:11" ht="15.75">
      <c r="A12" s="73" t="s">
        <v>638</v>
      </c>
    </row>
    <row r="13" spans="1:11">
      <c r="A13" t="s">
        <v>639</v>
      </c>
    </row>
    <row r="14" spans="1:11">
      <c r="A14" t="s">
        <v>640</v>
      </c>
    </row>
    <row r="15" spans="1:11">
      <c r="A15" t="s">
        <v>641</v>
      </c>
    </row>
    <row r="16" spans="1:11">
      <c r="A16" t="s">
        <v>642</v>
      </c>
    </row>
    <row r="17" spans="1:4">
      <c r="A17" t="s">
        <v>643</v>
      </c>
    </row>
    <row r="18" spans="1:4">
      <c r="A18" t="s">
        <v>644</v>
      </c>
    </row>
    <row r="19" spans="1:4">
      <c r="A19" t="s">
        <v>645</v>
      </c>
    </row>
    <row r="21" spans="1:4" ht="15.75">
      <c r="A21" s="73" t="s">
        <v>11</v>
      </c>
    </row>
    <row r="22" spans="1:4">
      <c r="A22" s="96" t="s">
        <v>646</v>
      </c>
    </row>
    <row r="23" spans="1:4">
      <c r="A23" s="151" t="s">
        <v>647</v>
      </c>
      <c r="B23" s="151" t="s">
        <v>648</v>
      </c>
      <c r="C23" s="151" t="s">
        <v>649</v>
      </c>
    </row>
    <row r="24" spans="1:4">
      <c r="A24" s="152" t="s">
        <v>32</v>
      </c>
      <c r="B24" s="152">
        <v>10</v>
      </c>
      <c r="C24" s="152">
        <v>30</v>
      </c>
    </row>
    <row r="25" spans="1:4">
      <c r="A25" s="152" t="s">
        <v>34</v>
      </c>
      <c r="B25" s="152">
        <v>40</v>
      </c>
      <c r="C25" s="152">
        <v>50</v>
      </c>
    </row>
    <row r="26" spans="1:4">
      <c r="A26" s="152" t="s">
        <v>36</v>
      </c>
      <c r="B26" s="152">
        <v>70</v>
      </c>
      <c r="C26" s="152">
        <v>80</v>
      </c>
    </row>
    <row r="28" spans="1:4">
      <c r="A28" s="151" t="s">
        <v>650</v>
      </c>
      <c r="B28" s="152" t="str">
        <f t="array" ref="B28:D28">TRANSPOSE(A24:A26)</f>
        <v>E001</v>
      </c>
      <c r="C28" s="152" t="str">
        <v>E002</v>
      </c>
      <c r="D28" s="152" t="str">
        <v>E003</v>
      </c>
    </row>
    <row r="29" spans="1:4">
      <c r="A29" s="151" t="s">
        <v>648</v>
      </c>
      <c r="B29" s="152">
        <f t="array" ref="B29:D29">TRANSPOSE(B24:B26)</f>
        <v>10</v>
      </c>
      <c r="C29" s="152">
        <v>40</v>
      </c>
      <c r="D29" s="152">
        <v>70</v>
      </c>
    </row>
    <row r="30" spans="1:4">
      <c r="A30" s="79" t="s">
        <v>651</v>
      </c>
      <c r="B30" s="194" t="s">
        <v>652</v>
      </c>
      <c r="C30" s="194"/>
      <c r="D30" s="194"/>
    </row>
    <row r="31" spans="1:4">
      <c r="A31" s="79" t="s">
        <v>653</v>
      </c>
      <c r="B31" s="194" t="s">
        <v>654</v>
      </c>
      <c r="C31" s="194"/>
      <c r="D31" s="194"/>
    </row>
    <row r="34" spans="1:4" ht="15.75">
      <c r="A34" s="73" t="s">
        <v>27</v>
      </c>
    </row>
    <row r="35" spans="1:4">
      <c r="A35" s="96" t="s">
        <v>655</v>
      </c>
    </row>
    <row r="36" spans="1:4">
      <c r="A36" s="151" t="s">
        <v>647</v>
      </c>
      <c r="B36" s="151" t="s">
        <v>648</v>
      </c>
      <c r="C36" s="151" t="s">
        <v>649</v>
      </c>
    </row>
    <row r="37" spans="1:4">
      <c r="A37" s="152" t="s">
        <v>32</v>
      </c>
      <c r="B37" s="152">
        <v>10</v>
      </c>
      <c r="C37" s="152">
        <v>30</v>
      </c>
    </row>
    <row r="38" spans="1:4">
      <c r="A38" s="152" t="s">
        <v>34</v>
      </c>
      <c r="B38" s="152">
        <v>40</v>
      </c>
      <c r="C38" s="152">
        <v>50</v>
      </c>
    </row>
    <row r="39" spans="1:4">
      <c r="A39" s="152" t="s">
        <v>36</v>
      </c>
      <c r="B39" s="152">
        <v>70</v>
      </c>
      <c r="C39" s="152">
        <v>80</v>
      </c>
    </row>
    <row r="41" spans="1:4">
      <c r="A41" s="151" t="s">
        <v>650</v>
      </c>
      <c r="B41" s="152" t="str" cm="1">
        <f t="array" ref="B41:D41">TRANSPOSE(A37:A39)</f>
        <v>E001</v>
      </c>
      <c r="C41" s="152" t="str">
        <v>E002</v>
      </c>
      <c r="D41" s="152" t="str">
        <v>E003</v>
      </c>
    </row>
    <row r="42" spans="1:4">
      <c r="A42" s="151" t="s">
        <v>648</v>
      </c>
      <c r="B42" s="152" cm="1">
        <f t="array" ref="B42:D42">TRANSPOSE(B37:B39)</f>
        <v>10</v>
      </c>
      <c r="C42" s="152">
        <v>40</v>
      </c>
      <c r="D42" s="152">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65" zoomScale="90" zoomScaleNormal="90" workbookViewId="0">
      <selection activeCell="D80" sqref="D80:D8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96" t="s">
        <v>314</v>
      </c>
      <c r="B1" s="196"/>
      <c r="C1" s="94"/>
      <c r="D1" s="76"/>
      <c r="E1" s="76"/>
      <c r="F1" s="76"/>
      <c r="G1" s="76"/>
      <c r="H1" s="76"/>
      <c r="I1" s="76"/>
      <c r="J1" s="76"/>
      <c r="K1" s="76"/>
    </row>
    <row r="2" spans="1:11" ht="15.75" thickTop="1"/>
    <row r="3" spans="1:11" ht="18.75">
      <c r="A3" s="74" t="s">
        <v>1</v>
      </c>
    </row>
    <row r="4" spans="1:11" ht="15" customHeight="1">
      <c r="A4" s="200" t="s">
        <v>656</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657</v>
      </c>
    </row>
    <row r="9" spans="1:11" ht="15.75">
      <c r="A9" s="73" t="s">
        <v>533</v>
      </c>
    </row>
    <row r="10" spans="1:11">
      <c r="A10" t="s">
        <v>658</v>
      </c>
    </row>
    <row r="11" spans="1:11">
      <c r="A11" s="103"/>
    </row>
    <row r="12" spans="1:11" ht="15.75">
      <c r="A12" s="73" t="s">
        <v>659</v>
      </c>
    </row>
    <row r="13" spans="1:11">
      <c r="A13" s="167" t="s">
        <v>660</v>
      </c>
      <c r="B13" s="167"/>
      <c r="C13" s="167"/>
      <c r="D13" s="167"/>
      <c r="E13" s="167"/>
      <c r="F13" s="167"/>
      <c r="G13" s="167"/>
      <c r="H13" s="167"/>
      <c r="I13" s="167"/>
      <c r="J13" s="167"/>
    </row>
    <row r="14" spans="1:11">
      <c r="A14" s="167"/>
      <c r="B14" s="167"/>
      <c r="C14" s="167"/>
      <c r="D14" s="167"/>
      <c r="E14" s="167"/>
      <c r="F14" s="167"/>
      <c r="G14" s="167"/>
      <c r="H14" s="167"/>
      <c r="I14" s="167"/>
      <c r="J14" s="167"/>
    </row>
    <row r="15" spans="1:11" ht="15.75">
      <c r="A15" s="73" t="s">
        <v>661</v>
      </c>
    </row>
    <row r="16" spans="1:11">
      <c r="A16" s="167" t="s">
        <v>662</v>
      </c>
      <c r="B16" s="167"/>
      <c r="C16" s="167"/>
      <c r="D16" s="167"/>
      <c r="E16" s="167"/>
      <c r="F16" s="167"/>
      <c r="G16" s="167"/>
      <c r="H16" s="167"/>
      <c r="I16" s="167"/>
      <c r="J16" s="167"/>
    </row>
    <row r="17" spans="1:16">
      <c r="A17" s="167"/>
      <c r="B17" s="167"/>
      <c r="C17" s="167"/>
      <c r="D17" s="167"/>
      <c r="E17" s="167"/>
      <c r="F17" s="167"/>
      <c r="G17" s="167"/>
      <c r="H17" s="167"/>
      <c r="I17" s="167"/>
      <c r="J17" s="167"/>
    </row>
    <row r="18" spans="1:16">
      <c r="A18" s="103"/>
    </row>
    <row r="19" spans="1:16" ht="15.75">
      <c r="A19" s="73" t="s">
        <v>45</v>
      </c>
    </row>
    <row r="20" spans="1:16">
      <c r="A20" s="96" t="s">
        <v>541</v>
      </c>
    </row>
    <row r="21" spans="1:16">
      <c r="A21" s="151" t="s">
        <v>542</v>
      </c>
      <c r="B21" s="151" t="s">
        <v>543</v>
      </c>
      <c r="C21" s="151" t="s">
        <v>544</v>
      </c>
      <c r="D21" s="151" t="s">
        <v>545</v>
      </c>
    </row>
    <row r="22" spans="1:16">
      <c r="A22" s="152" t="s">
        <v>546</v>
      </c>
      <c r="B22" s="124">
        <v>2500</v>
      </c>
      <c r="C22" s="124">
        <v>2000</v>
      </c>
      <c r="D22" s="124">
        <v>3000</v>
      </c>
    </row>
    <row r="23" spans="1:16">
      <c r="A23" s="152" t="s">
        <v>547</v>
      </c>
      <c r="B23" s="124">
        <v>5000</v>
      </c>
      <c r="C23" s="124">
        <v>4999</v>
      </c>
      <c r="D23" s="124">
        <v>5200</v>
      </c>
    </row>
    <row r="24" spans="1:16">
      <c r="A24" s="152" t="s">
        <v>548</v>
      </c>
      <c r="B24" s="124">
        <v>1250</v>
      </c>
      <c r="C24" s="124">
        <v>1302</v>
      </c>
      <c r="D24" s="124">
        <v>1100</v>
      </c>
    </row>
    <row r="25" spans="1:16">
      <c r="A25" s="152" t="s">
        <v>549</v>
      </c>
      <c r="B25" s="124">
        <v>250</v>
      </c>
      <c r="C25" s="124">
        <v>300</v>
      </c>
      <c r="D25" s="124">
        <v>200</v>
      </c>
    </row>
    <row r="26" spans="1:16">
      <c r="A26" s="152" t="s">
        <v>550</v>
      </c>
      <c r="B26" s="124">
        <v>300</v>
      </c>
      <c r="C26" s="124">
        <v>290</v>
      </c>
      <c r="D26" s="124">
        <v>310</v>
      </c>
    </row>
    <row r="27" spans="1:16">
      <c r="A27" s="1"/>
      <c r="B27" s="1"/>
      <c r="C27" s="1"/>
      <c r="D27" s="1"/>
    </row>
    <row r="28" spans="1:16" ht="15" customHeight="1">
      <c r="A28" s="151" t="s">
        <v>551</v>
      </c>
      <c r="B28" s="151" t="s">
        <v>552</v>
      </c>
      <c r="C28" s="151" t="s">
        <v>553</v>
      </c>
      <c r="D28" s="186" t="s">
        <v>16</v>
      </c>
      <c r="E28" s="186"/>
      <c r="F28" s="186"/>
      <c r="H28" s="217" t="s">
        <v>554</v>
      </c>
      <c r="I28" s="217"/>
      <c r="J28" s="217"/>
      <c r="K28" s="217"/>
      <c r="L28" s="217"/>
      <c r="M28" s="217"/>
      <c r="N28" s="217"/>
      <c r="O28" s="217"/>
      <c r="P28" s="217"/>
    </row>
    <row r="29" spans="1:16">
      <c r="A29" s="152" t="s">
        <v>543</v>
      </c>
      <c r="B29" s="152" t="s">
        <v>549</v>
      </c>
      <c r="C29" s="69">
        <f>VLOOKUP(B29,$A$22:$B$26,2,FALSE)</f>
        <v>250</v>
      </c>
      <c r="D29" s="219" t="s">
        <v>555</v>
      </c>
      <c r="E29" s="219"/>
      <c r="F29" s="219"/>
      <c r="H29" s="217"/>
      <c r="I29" s="217"/>
      <c r="J29" s="217"/>
      <c r="K29" s="217"/>
      <c r="L29" s="217"/>
      <c r="M29" s="217"/>
      <c r="N29" s="217"/>
      <c r="O29" s="217"/>
      <c r="P29" s="217"/>
    </row>
    <row r="30" spans="1:16">
      <c r="A30" s="152" t="s">
        <v>544</v>
      </c>
      <c r="B30" s="152" t="s">
        <v>546</v>
      </c>
      <c r="C30" s="69">
        <f>VLOOKUP(B30,$A$22:$C$26,3,FALSE)</f>
        <v>2000</v>
      </c>
      <c r="D30" s="219" t="s">
        <v>556</v>
      </c>
      <c r="E30" s="219"/>
      <c r="F30" s="219"/>
      <c r="H30" s="217"/>
      <c r="I30" s="217"/>
      <c r="J30" s="217"/>
      <c r="K30" s="217"/>
      <c r="L30" s="217"/>
      <c r="M30" s="217"/>
      <c r="N30" s="217"/>
      <c r="O30" s="217"/>
      <c r="P30" s="217"/>
    </row>
    <row r="31" spans="1:16">
      <c r="A31" s="152" t="s">
        <v>545</v>
      </c>
      <c r="B31" s="152" t="s">
        <v>547</v>
      </c>
      <c r="C31" s="69">
        <f>VLOOKUP(B31,$A$22:$D$26,4,FALSE)</f>
        <v>5200</v>
      </c>
      <c r="D31" s="219" t="s">
        <v>557</v>
      </c>
      <c r="E31" s="219"/>
      <c r="F31" s="219"/>
      <c r="H31" s="217"/>
      <c r="I31" s="217"/>
      <c r="J31" s="217"/>
      <c r="K31" s="217"/>
      <c r="L31" s="217"/>
      <c r="M31" s="217"/>
      <c r="N31" s="217"/>
      <c r="O31" s="217"/>
      <c r="P31" s="217"/>
    </row>
    <row r="32" spans="1:16">
      <c r="A32" s="152" t="s">
        <v>545</v>
      </c>
      <c r="B32" s="152" t="s">
        <v>548</v>
      </c>
      <c r="C32" s="69">
        <f>VLOOKUP(B32,$A$22:$D$26,4,FALSE)</f>
        <v>1100</v>
      </c>
      <c r="D32" s="219" t="s">
        <v>558</v>
      </c>
      <c r="E32" s="219"/>
      <c r="F32" s="219"/>
      <c r="H32" s="217"/>
      <c r="I32" s="217"/>
      <c r="J32" s="217"/>
      <c r="K32" s="217"/>
      <c r="L32" s="217"/>
      <c r="M32" s="217"/>
      <c r="N32" s="217"/>
      <c r="O32" s="217"/>
      <c r="P32" s="217"/>
    </row>
    <row r="33" spans="1:16">
      <c r="A33" s="152" t="s">
        <v>543</v>
      </c>
      <c r="B33" s="152" t="s">
        <v>549</v>
      </c>
      <c r="C33" s="69">
        <f>VLOOKUP(B33,$A$22:$B$26,2,FALSE)</f>
        <v>250</v>
      </c>
      <c r="D33" s="219" t="s">
        <v>559</v>
      </c>
      <c r="E33" s="219"/>
      <c r="F33" s="219"/>
      <c r="H33" s="217"/>
      <c r="I33" s="217"/>
      <c r="J33" s="217"/>
      <c r="K33" s="217"/>
      <c r="L33" s="217"/>
      <c r="M33" s="217"/>
      <c r="N33" s="217"/>
      <c r="O33" s="217"/>
      <c r="P33" s="217"/>
    </row>
    <row r="34" spans="1:16">
      <c r="A34" s="152" t="s">
        <v>543</v>
      </c>
      <c r="B34" s="152" t="s">
        <v>550</v>
      </c>
      <c r="C34" s="69">
        <f>VLOOKUP(B34,$A$22:$B$26,2,FALSE)</f>
        <v>300</v>
      </c>
      <c r="D34" s="219" t="s">
        <v>560</v>
      </c>
      <c r="E34" s="219"/>
      <c r="F34" s="219"/>
      <c r="H34" s="217"/>
      <c r="I34" s="217"/>
      <c r="J34" s="217"/>
      <c r="K34" s="217"/>
      <c r="L34" s="217"/>
      <c r="M34" s="217"/>
      <c r="N34" s="217"/>
      <c r="O34" s="217"/>
      <c r="P34" s="217"/>
    </row>
    <row r="35" spans="1:16">
      <c r="A35" s="152" t="s">
        <v>544</v>
      </c>
      <c r="B35" s="152" t="s">
        <v>546</v>
      </c>
      <c r="C35" s="69">
        <f>VLOOKUP(B35,$A$22:$C$26,3,FALSE)</f>
        <v>2000</v>
      </c>
      <c r="D35" s="219" t="s">
        <v>561</v>
      </c>
      <c r="E35" s="219"/>
      <c r="F35" s="219"/>
      <c r="H35" s="217"/>
      <c r="I35" s="217"/>
      <c r="J35" s="217"/>
      <c r="K35" s="217"/>
      <c r="L35" s="217"/>
      <c r="M35" s="217"/>
      <c r="N35" s="217"/>
      <c r="O35" s="217"/>
      <c r="P35" s="217"/>
    </row>
    <row r="36" spans="1:16">
      <c r="A36" s="152" t="s">
        <v>544</v>
      </c>
      <c r="B36" s="152" t="s">
        <v>547</v>
      </c>
      <c r="C36" s="69">
        <f>VLOOKUP(B36,$A$22:$C$26,3,FALSE)</f>
        <v>4999</v>
      </c>
      <c r="D36" s="219" t="s">
        <v>562</v>
      </c>
      <c r="E36" s="219"/>
      <c r="F36" s="219"/>
      <c r="H36" s="217"/>
      <c r="I36" s="217"/>
      <c r="J36" s="217"/>
      <c r="K36" s="217"/>
      <c r="L36" s="217"/>
      <c r="M36" s="217"/>
      <c r="N36" s="217"/>
      <c r="O36" s="217"/>
      <c r="P36" s="217"/>
    </row>
    <row r="39" spans="1:16" ht="15.75">
      <c r="A39" s="73" t="s">
        <v>52</v>
      </c>
    </row>
    <row r="40" spans="1:16">
      <c r="A40" s="167" t="s">
        <v>563</v>
      </c>
      <c r="B40" s="167"/>
      <c r="C40" s="167"/>
      <c r="D40" s="167"/>
      <c r="E40" s="167"/>
      <c r="F40" s="167"/>
      <c r="G40" s="167"/>
      <c r="H40" s="167"/>
      <c r="I40" s="167"/>
      <c r="J40" s="167"/>
    </row>
    <row r="41" spans="1:16">
      <c r="A41" s="167"/>
      <c r="B41" s="167"/>
      <c r="C41" s="167"/>
      <c r="D41" s="167"/>
      <c r="E41" s="167"/>
      <c r="F41" s="167"/>
      <c r="G41" s="167"/>
      <c r="H41" s="167"/>
      <c r="I41" s="167"/>
      <c r="J41" s="167"/>
    </row>
    <row r="42" spans="1:16">
      <c r="A42" s="218" t="s">
        <v>564</v>
      </c>
      <c r="B42" s="218"/>
      <c r="C42" s="144"/>
      <c r="D42" s="218" t="s">
        <v>565</v>
      </c>
      <c r="E42" s="218"/>
      <c r="F42" s="144"/>
      <c r="G42" s="144"/>
      <c r="H42" s="144"/>
      <c r="I42" s="144"/>
      <c r="J42" s="144"/>
    </row>
    <row r="43" spans="1:16">
      <c r="A43" s="151" t="s">
        <v>566</v>
      </c>
      <c r="B43" s="151" t="s">
        <v>553</v>
      </c>
      <c r="D43" s="151" t="s">
        <v>566</v>
      </c>
      <c r="E43" s="151" t="s">
        <v>567</v>
      </c>
    </row>
    <row r="44" spans="1:16">
      <c r="A44" s="152" t="s">
        <v>568</v>
      </c>
      <c r="B44" s="125">
        <v>5.0999999999999996</v>
      </c>
      <c r="D44" s="152" t="s">
        <v>568</v>
      </c>
      <c r="E44" s="125">
        <v>7.5</v>
      </c>
    </row>
    <row r="45" spans="1:16">
      <c r="A45" s="152" t="s">
        <v>569</v>
      </c>
      <c r="B45" s="125">
        <v>1.1000000000000001</v>
      </c>
      <c r="D45" s="152" t="s">
        <v>569</v>
      </c>
      <c r="E45" s="125">
        <v>1.1499999999999999</v>
      </c>
    </row>
    <row r="46" spans="1:16">
      <c r="A46" s="152" t="s">
        <v>570</v>
      </c>
      <c r="B46" s="125">
        <v>1.5</v>
      </c>
      <c r="D46" s="152" t="s">
        <v>570</v>
      </c>
      <c r="E46" s="125">
        <v>2.5</v>
      </c>
    </row>
    <row r="47" spans="1:16">
      <c r="A47" s="152" t="s">
        <v>571</v>
      </c>
      <c r="B47" s="125">
        <v>2.5</v>
      </c>
      <c r="D47" s="152" t="s">
        <v>571</v>
      </c>
      <c r="E47" s="125">
        <v>3.75</v>
      </c>
    </row>
    <row r="49" spans="1:11">
      <c r="A49" s="169" t="s">
        <v>572</v>
      </c>
      <c r="B49" s="169"/>
      <c r="C49" s="169"/>
      <c r="D49" s="169"/>
      <c r="E49" s="169"/>
      <c r="F49" s="169"/>
      <c r="G49" s="169"/>
      <c r="H49" s="169"/>
      <c r="I49" s="169"/>
      <c r="J49" s="169"/>
      <c r="K49" s="169"/>
    </row>
    <row r="50" spans="1:11">
      <c r="A50" s="151" t="s">
        <v>566</v>
      </c>
      <c r="B50" s="151" t="s">
        <v>573</v>
      </c>
      <c r="C50" s="151" t="s">
        <v>553</v>
      </c>
      <c r="D50" s="151" t="s">
        <v>567</v>
      </c>
      <c r="E50" s="151" t="s">
        <v>574</v>
      </c>
      <c r="F50" s="186" t="s">
        <v>575</v>
      </c>
      <c r="G50" s="186"/>
      <c r="H50" s="186"/>
      <c r="I50" s="186" t="s">
        <v>576</v>
      </c>
      <c r="J50" s="186"/>
      <c r="K50" s="186"/>
    </row>
    <row r="51" spans="1:11">
      <c r="A51" s="152" t="s">
        <v>568</v>
      </c>
      <c r="B51" s="161">
        <v>500</v>
      </c>
      <c r="C51" s="127">
        <f>VLOOKUP(A51,$A$44:$B$47,2,FALSE)</f>
        <v>5.0999999999999996</v>
      </c>
      <c r="D51" s="126">
        <f>VLOOKUP(A51,$D$44:$E$47,2,FALSE)</f>
        <v>7.5</v>
      </c>
      <c r="E51" s="125">
        <f>(D51-C51)*B51</f>
        <v>1200.0000000000002</v>
      </c>
      <c r="F51" s="220" t="s">
        <v>577</v>
      </c>
      <c r="G51" s="220"/>
      <c r="H51" s="220"/>
      <c r="I51" s="219" t="s">
        <v>578</v>
      </c>
      <c r="J51" s="219"/>
      <c r="K51" s="219"/>
    </row>
    <row r="52" spans="1:11">
      <c r="A52" s="152" t="s">
        <v>569</v>
      </c>
      <c r="B52" s="161">
        <v>100</v>
      </c>
      <c r="C52" s="127">
        <f t="shared" ref="C52:C55" si="0">VLOOKUP(A52,$A$44:$B$47,2,FALSE)</f>
        <v>1.1000000000000001</v>
      </c>
      <c r="D52" s="126">
        <f t="shared" ref="D52:D55" si="1">VLOOKUP(A52,$D$44:$E$47,2,FALSE)</f>
        <v>1.1499999999999999</v>
      </c>
      <c r="E52" s="125">
        <f t="shared" ref="E52:E54" si="2">(D52-C52)*B52</f>
        <v>4.9999999999999822</v>
      </c>
      <c r="F52" s="220" t="s">
        <v>579</v>
      </c>
      <c r="G52" s="220"/>
      <c r="H52" s="220"/>
      <c r="I52" s="219" t="s">
        <v>580</v>
      </c>
      <c r="J52" s="219"/>
      <c r="K52" s="219"/>
    </row>
    <row r="53" spans="1:11">
      <c r="A53" s="152" t="s">
        <v>570</v>
      </c>
      <c r="B53" s="161">
        <v>250</v>
      </c>
      <c r="C53" s="127">
        <f t="shared" si="0"/>
        <v>1.5</v>
      </c>
      <c r="D53" s="126">
        <f t="shared" si="1"/>
        <v>2.5</v>
      </c>
      <c r="E53" s="125">
        <f t="shared" si="2"/>
        <v>250</v>
      </c>
      <c r="F53" s="220" t="s">
        <v>581</v>
      </c>
      <c r="G53" s="220"/>
      <c r="H53" s="220"/>
      <c r="I53" s="219" t="s">
        <v>582</v>
      </c>
      <c r="J53" s="219"/>
      <c r="K53" s="219"/>
    </row>
    <row r="54" spans="1:11">
      <c r="A54" s="152" t="s">
        <v>571</v>
      </c>
      <c r="B54" s="161">
        <v>100</v>
      </c>
      <c r="C54" s="127">
        <f t="shared" si="0"/>
        <v>2.5</v>
      </c>
      <c r="D54" s="126">
        <f t="shared" si="1"/>
        <v>3.75</v>
      </c>
      <c r="E54" s="125">
        <f t="shared" si="2"/>
        <v>125</v>
      </c>
      <c r="F54" s="220" t="s">
        <v>583</v>
      </c>
      <c r="G54" s="220"/>
      <c r="H54" s="220"/>
      <c r="I54" s="219" t="s">
        <v>584</v>
      </c>
      <c r="J54" s="219"/>
      <c r="K54" s="219"/>
    </row>
    <row r="55" spans="1:11">
      <c r="A55" s="152" t="s">
        <v>585</v>
      </c>
      <c r="B55" s="161">
        <v>990</v>
      </c>
      <c r="C55" s="127" t="e">
        <f t="shared" si="0"/>
        <v>#N/A</v>
      </c>
      <c r="D55" s="126" t="e">
        <f t="shared" si="1"/>
        <v>#N/A</v>
      </c>
      <c r="E55" s="125"/>
      <c r="F55" s="220" t="s">
        <v>586</v>
      </c>
      <c r="G55" s="220"/>
      <c r="H55" s="220"/>
      <c r="I55" s="219" t="s">
        <v>587</v>
      </c>
      <c r="J55" s="219"/>
      <c r="K55" s="219"/>
    </row>
    <row r="56" spans="1:11">
      <c r="A56" s="129" t="s">
        <v>588</v>
      </c>
    </row>
    <row r="60" spans="1:11" ht="15" customHeight="1">
      <c r="B60" s="181" t="s">
        <v>589</v>
      </c>
      <c r="C60" s="181"/>
      <c r="D60" s="181"/>
    </row>
    <row r="61" spans="1:11">
      <c r="B61" s="181"/>
      <c r="C61" s="181"/>
      <c r="D61" s="181"/>
    </row>
    <row r="62" spans="1:11">
      <c r="B62" s="181"/>
      <c r="C62" s="181"/>
      <c r="D62" s="181"/>
    </row>
    <row r="63" spans="1:11">
      <c r="B63" s="181"/>
      <c r="C63" s="181"/>
      <c r="D63" s="181"/>
    </row>
    <row r="66" spans="1:10" ht="15.75">
      <c r="A66" s="73" t="s">
        <v>308</v>
      </c>
    </row>
    <row r="67" spans="1:10">
      <c r="A67" s="167" t="s">
        <v>590</v>
      </c>
      <c r="B67" s="167"/>
      <c r="C67" s="167"/>
      <c r="D67" s="167"/>
      <c r="E67" s="167"/>
      <c r="F67" s="167"/>
      <c r="G67" s="167"/>
      <c r="H67" s="167"/>
      <c r="I67" s="167"/>
      <c r="J67" s="167"/>
    </row>
    <row r="68" spans="1:10">
      <c r="A68" s="167"/>
      <c r="B68" s="167"/>
      <c r="C68" s="167"/>
      <c r="D68" s="167"/>
      <c r="E68" s="167"/>
      <c r="F68" s="167"/>
      <c r="G68" s="167"/>
      <c r="H68" s="167"/>
      <c r="I68" s="167"/>
      <c r="J68" s="167"/>
    </row>
    <row r="69" spans="1:10">
      <c r="A69" s="218" t="s">
        <v>564</v>
      </c>
      <c r="B69" s="218"/>
      <c r="C69" s="144"/>
      <c r="D69" s="218" t="s">
        <v>565</v>
      </c>
      <c r="E69" s="218"/>
      <c r="F69" s="144"/>
      <c r="G69" s="218" t="s">
        <v>572</v>
      </c>
      <c r="H69" s="218"/>
      <c r="I69" s="144"/>
      <c r="J69" s="144"/>
    </row>
    <row r="70" spans="1:10">
      <c r="A70" s="151" t="s">
        <v>591</v>
      </c>
      <c r="B70" s="151" t="s">
        <v>30</v>
      </c>
      <c r="D70" s="151" t="s">
        <v>591</v>
      </c>
      <c r="E70" s="151" t="s">
        <v>31</v>
      </c>
      <c r="G70" s="151" t="s">
        <v>591</v>
      </c>
      <c r="H70" s="151" t="s">
        <v>592</v>
      </c>
    </row>
    <row r="71" spans="1:10">
      <c r="A71" s="152" t="s">
        <v>593</v>
      </c>
      <c r="B71" s="128" t="s">
        <v>33</v>
      </c>
      <c r="D71" s="152" t="s">
        <v>593</v>
      </c>
      <c r="E71" s="128">
        <v>85000</v>
      </c>
      <c r="G71" s="152" t="s">
        <v>593</v>
      </c>
      <c r="H71" s="128" t="s">
        <v>594</v>
      </c>
    </row>
    <row r="72" spans="1:10">
      <c r="A72" s="152" t="s">
        <v>595</v>
      </c>
      <c r="B72" s="128" t="s">
        <v>596</v>
      </c>
      <c r="D72" s="152" t="s">
        <v>595</v>
      </c>
      <c r="E72" s="128">
        <v>60000</v>
      </c>
      <c r="G72" s="152" t="s">
        <v>595</v>
      </c>
      <c r="H72" s="128" t="s">
        <v>594</v>
      </c>
    </row>
    <row r="73" spans="1:10">
      <c r="A73" s="152" t="s">
        <v>597</v>
      </c>
      <c r="B73" s="128" t="s">
        <v>33</v>
      </c>
      <c r="D73" s="152" t="s">
        <v>597</v>
      </c>
      <c r="E73" s="128">
        <v>65000</v>
      </c>
      <c r="G73" s="152" t="s">
        <v>597</v>
      </c>
      <c r="H73" s="128" t="s">
        <v>598</v>
      </c>
    </row>
    <row r="74" spans="1:10">
      <c r="A74" s="152" t="s">
        <v>599</v>
      </c>
      <c r="B74" s="128" t="s">
        <v>35</v>
      </c>
      <c r="D74" s="152" t="s">
        <v>599</v>
      </c>
      <c r="E74" s="128">
        <v>50000</v>
      </c>
      <c r="G74" s="152" t="s">
        <v>599</v>
      </c>
      <c r="H74" s="128" t="s">
        <v>600</v>
      </c>
    </row>
    <row r="75" spans="1:10">
      <c r="A75" s="152" t="s">
        <v>601</v>
      </c>
      <c r="B75" s="128" t="s">
        <v>35</v>
      </c>
      <c r="D75" s="152" t="s">
        <v>601</v>
      </c>
      <c r="E75" s="128">
        <v>45000</v>
      </c>
      <c r="G75" s="152" t="s">
        <v>601</v>
      </c>
      <c r="H75" s="128" t="s">
        <v>598</v>
      </c>
    </row>
    <row r="78" spans="1:10">
      <c r="A78" s="169" t="s">
        <v>602</v>
      </c>
      <c r="B78" s="169"/>
      <c r="C78" s="169"/>
      <c r="D78" s="169"/>
    </row>
    <row r="79" spans="1:10">
      <c r="A79" s="151" t="s">
        <v>591</v>
      </c>
      <c r="B79" s="151" t="s">
        <v>30</v>
      </c>
      <c r="C79" s="151" t="s">
        <v>31</v>
      </c>
      <c r="D79" s="151" t="s">
        <v>592</v>
      </c>
    </row>
    <row r="80" spans="1:10">
      <c r="A80" s="152" t="s">
        <v>599</v>
      </c>
      <c r="B80" s="79" t="str">
        <f>VLOOKUP($A80, $A$70:$B$75, 2, 0)</f>
        <v>Analyst</v>
      </c>
      <c r="C80" s="128">
        <f>VLOOKUP($A80, $D$70:$E$75, 2, 0)</f>
        <v>50000</v>
      </c>
      <c r="D80" s="79" t="str">
        <f>VLOOKUP($A80, $G$70:$H$75, 2, 0)</f>
        <v>HR</v>
      </c>
    </row>
    <row r="81" spans="1:9">
      <c r="A81" s="152" t="s">
        <v>601</v>
      </c>
      <c r="B81" s="79" t="str">
        <f t="shared" ref="B81:B85" si="3">VLOOKUP($A81, $A$70:$B$75, 2, 0)</f>
        <v>Analyst</v>
      </c>
      <c r="C81" s="128">
        <f t="shared" ref="C81:C85" si="4">VLOOKUP($A81, $D$70:$E$75, 2, 0)</f>
        <v>45000</v>
      </c>
      <c r="D81" s="79" t="str">
        <f t="shared" ref="D81:D85" si="5">VLOOKUP($A81, $G$70:$H$75, 2, 0)</f>
        <v>IT</v>
      </c>
    </row>
    <row r="82" spans="1:9">
      <c r="A82" s="152" t="s">
        <v>597</v>
      </c>
      <c r="B82" s="79" t="str">
        <f t="shared" si="3"/>
        <v>AVP</v>
      </c>
      <c r="C82" s="128">
        <f t="shared" si="4"/>
        <v>65000</v>
      </c>
      <c r="D82" s="79" t="str">
        <f t="shared" si="5"/>
        <v>IT</v>
      </c>
    </row>
    <row r="83" spans="1:9">
      <c r="A83" s="152" t="s">
        <v>593</v>
      </c>
      <c r="B83" s="79" t="str">
        <f t="shared" si="3"/>
        <v>AVP</v>
      </c>
      <c r="C83" s="128">
        <f t="shared" si="4"/>
        <v>85000</v>
      </c>
      <c r="D83" s="79" t="str">
        <f t="shared" si="5"/>
        <v>Analytics</v>
      </c>
    </row>
    <row r="84" spans="1:9">
      <c r="A84" s="152" t="s">
        <v>603</v>
      </c>
      <c r="B84" s="79" t="e">
        <f t="shared" si="3"/>
        <v>#N/A</v>
      </c>
      <c r="C84" s="128" t="e">
        <f t="shared" si="4"/>
        <v>#N/A</v>
      </c>
      <c r="D84" s="79" t="e">
        <f t="shared" si="5"/>
        <v>#N/A</v>
      </c>
    </row>
    <row r="85" spans="1:9">
      <c r="A85" s="152" t="s">
        <v>595</v>
      </c>
      <c r="B85" s="79" t="str">
        <f t="shared" si="3"/>
        <v>Analayst</v>
      </c>
      <c r="C85" s="128">
        <f t="shared" si="4"/>
        <v>60000</v>
      </c>
      <c r="D85" s="79" t="str">
        <f t="shared" si="5"/>
        <v>Analytics</v>
      </c>
    </row>
    <row r="88" spans="1:9" ht="15.75">
      <c r="A88" s="73" t="s">
        <v>311</v>
      </c>
    </row>
    <row r="89" spans="1:9">
      <c r="A89" s="96" t="s">
        <v>604</v>
      </c>
    </row>
    <row r="90" spans="1:9" ht="15" customHeight="1">
      <c r="A90" s="151" t="s">
        <v>542</v>
      </c>
      <c r="B90" s="151" t="s">
        <v>546</v>
      </c>
      <c r="C90" s="151" t="s">
        <v>547</v>
      </c>
      <c r="D90" s="151" t="s">
        <v>548</v>
      </c>
      <c r="E90" s="151" t="s">
        <v>549</v>
      </c>
      <c r="F90" s="151" t="s">
        <v>550</v>
      </c>
    </row>
    <row r="91" spans="1:9">
      <c r="A91" s="158" t="s">
        <v>543</v>
      </c>
      <c r="B91" s="124">
        <v>2500</v>
      </c>
      <c r="C91" s="124">
        <v>5000</v>
      </c>
      <c r="D91" s="124">
        <v>1250</v>
      </c>
      <c r="E91" s="124">
        <v>250</v>
      </c>
      <c r="F91" s="124">
        <v>300</v>
      </c>
    </row>
    <row r="92" spans="1:9">
      <c r="A92" s="158" t="s">
        <v>544</v>
      </c>
      <c r="B92" s="124">
        <v>2000</v>
      </c>
      <c r="C92" s="124">
        <v>4999</v>
      </c>
      <c r="D92" s="124">
        <v>1302</v>
      </c>
      <c r="E92" s="124">
        <v>300</v>
      </c>
      <c r="F92" s="124">
        <v>290</v>
      </c>
    </row>
    <row r="93" spans="1:9">
      <c r="A93" s="158" t="s">
        <v>545</v>
      </c>
      <c r="B93" s="124">
        <v>3000</v>
      </c>
      <c r="C93" s="124">
        <v>5200</v>
      </c>
      <c r="D93" s="124">
        <v>1100</v>
      </c>
      <c r="E93" s="124">
        <v>200</v>
      </c>
      <c r="F93" s="124">
        <v>310</v>
      </c>
    </row>
    <row r="95" spans="1:9">
      <c r="A95" s="151" t="s">
        <v>551</v>
      </c>
      <c r="B95" s="152" t="s">
        <v>543</v>
      </c>
      <c r="C95" s="152" t="s">
        <v>544</v>
      </c>
      <c r="D95" s="152" t="s">
        <v>545</v>
      </c>
      <c r="E95" s="152" t="s">
        <v>545</v>
      </c>
      <c r="F95" s="152" t="s">
        <v>543</v>
      </c>
      <c r="G95" s="152" t="s">
        <v>543</v>
      </c>
      <c r="H95" s="152" t="s">
        <v>544</v>
      </c>
      <c r="I95" s="152" t="s">
        <v>544</v>
      </c>
    </row>
    <row r="96" spans="1:9">
      <c r="A96" s="151" t="s">
        <v>552</v>
      </c>
      <c r="B96" s="152" t="s">
        <v>550</v>
      </c>
      <c r="C96" s="152" t="s">
        <v>546</v>
      </c>
      <c r="D96" s="152" t="s">
        <v>605</v>
      </c>
      <c r="E96" s="152" t="s">
        <v>548</v>
      </c>
      <c r="F96" s="152" t="s">
        <v>549</v>
      </c>
      <c r="G96" s="152" t="s">
        <v>547</v>
      </c>
      <c r="H96" s="152" t="s">
        <v>546</v>
      </c>
      <c r="I96" s="152" t="s">
        <v>547</v>
      </c>
    </row>
    <row r="97" spans="1:9">
      <c r="A97" s="151" t="s">
        <v>606</v>
      </c>
      <c r="B97" s="124">
        <f>VLOOKUP(B95, $A$91:$F$93, MATCH(B96, $A$90:$F$90, 0), 0)</f>
        <v>300</v>
      </c>
      <c r="C97" s="124">
        <f t="shared" ref="C97:I97" si="6">VLOOKUP(C95, $A$91:$F$93, MATCH(C96, $A$90:$F$90, 0), 0)</f>
        <v>2000</v>
      </c>
      <c r="D97" s="124">
        <f t="shared" si="6"/>
        <v>3000</v>
      </c>
      <c r="E97" s="124">
        <f t="shared" si="6"/>
        <v>1100</v>
      </c>
      <c r="F97" s="124">
        <f t="shared" si="6"/>
        <v>250</v>
      </c>
      <c r="G97" s="124">
        <f t="shared" si="6"/>
        <v>5000</v>
      </c>
      <c r="H97" s="124">
        <f t="shared" si="6"/>
        <v>2000</v>
      </c>
      <c r="I97" s="124">
        <f t="shared" si="6"/>
        <v>4999</v>
      </c>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28" zoomScale="90" zoomScaleNormal="90" workbookViewId="0">
      <selection sqref="A1:B1"/>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663</v>
      </c>
      <c r="B1" s="196"/>
      <c r="C1" s="94"/>
      <c r="D1" s="76"/>
      <c r="E1" s="76"/>
      <c r="F1" s="76"/>
      <c r="G1" s="76"/>
      <c r="H1" s="76"/>
      <c r="I1" s="76"/>
      <c r="J1" s="76"/>
      <c r="K1" s="76"/>
    </row>
    <row r="2" spans="1:11" ht="15.75" thickTop="1"/>
    <row r="3" spans="1:11" ht="18.75">
      <c r="A3" s="74" t="s">
        <v>1</v>
      </c>
    </row>
    <row r="4" spans="1:11" ht="15" customHeight="1">
      <c r="A4" s="200" t="s">
        <v>664</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665</v>
      </c>
    </row>
    <row r="9" spans="1:11" ht="15.75">
      <c r="A9" s="73" t="s">
        <v>666</v>
      </c>
    </row>
    <row r="10" spans="1:11">
      <c r="A10" t="s">
        <v>667</v>
      </c>
    </row>
    <row r="11" spans="1:11">
      <c r="A11" s="103"/>
    </row>
    <row r="12" spans="1:11" ht="15.75">
      <c r="A12" s="73" t="s">
        <v>668</v>
      </c>
    </row>
    <row r="13" spans="1:11">
      <c r="A13" t="s">
        <v>669</v>
      </c>
    </row>
    <row r="14" spans="1:11">
      <c r="A14" s="103"/>
    </row>
    <row r="15" spans="1:11" ht="15.75">
      <c r="A15" s="73" t="s">
        <v>45</v>
      </c>
    </row>
    <row r="16" spans="1:11">
      <c r="A16" s="96" t="s">
        <v>670</v>
      </c>
    </row>
    <row r="17" spans="1:5">
      <c r="A17" s="151" t="s">
        <v>113</v>
      </c>
      <c r="B17" s="151" t="s">
        <v>114</v>
      </c>
      <c r="C17" s="146" t="s">
        <v>671</v>
      </c>
      <c r="D17" s="146" t="s">
        <v>49</v>
      </c>
      <c r="E17" s="146" t="s">
        <v>16</v>
      </c>
    </row>
    <row r="18" spans="1:5">
      <c r="A18" s="161">
        <v>5</v>
      </c>
      <c r="B18" s="161">
        <v>12</v>
      </c>
      <c r="C18" s="160">
        <v>17</v>
      </c>
      <c r="D18" s="160">
        <f>SUM(A18:C18)</f>
        <v>34</v>
      </c>
      <c r="E18" s="161" t="s">
        <v>672</v>
      </c>
    </row>
    <row r="19" spans="1:5">
      <c r="A19" s="161">
        <v>10</v>
      </c>
      <c r="B19" s="161">
        <v>18</v>
      </c>
      <c r="C19" s="160">
        <v>23</v>
      </c>
      <c r="D19" s="160">
        <f>SUM(A19,B19,C19,H18)</f>
        <v>51</v>
      </c>
      <c r="E19" s="161" t="s">
        <v>673</v>
      </c>
    </row>
    <row r="20" spans="1:5">
      <c r="A20" s="161">
        <v>20</v>
      </c>
      <c r="B20" s="161">
        <v>100</v>
      </c>
      <c r="C20" s="160">
        <v>999</v>
      </c>
      <c r="D20" s="160">
        <f>A20+B20+C20</f>
        <v>1119</v>
      </c>
      <c r="E20" s="161" t="s">
        <v>674</v>
      </c>
    </row>
    <row r="21" spans="1:5">
      <c r="A21" s="97"/>
      <c r="B21" s="97"/>
      <c r="C21" s="97"/>
    </row>
    <row r="22" spans="1:5" ht="15.75">
      <c r="A22" s="73" t="s">
        <v>52</v>
      </c>
      <c r="B22" s="97"/>
      <c r="C22" s="97"/>
    </row>
    <row r="23" spans="1:5">
      <c r="A23" s="96" t="s">
        <v>670</v>
      </c>
      <c r="B23" s="97"/>
      <c r="C23" s="97"/>
    </row>
    <row r="24" spans="1:5">
      <c r="A24" s="151" t="s">
        <v>675</v>
      </c>
      <c r="B24" s="152">
        <v>5</v>
      </c>
      <c r="C24" s="152">
        <v>9</v>
      </c>
      <c r="D24" s="152">
        <v>12</v>
      </c>
      <c r="E24" s="149">
        <v>21</v>
      </c>
    </row>
    <row r="25" spans="1:5">
      <c r="A25" s="151" t="s">
        <v>676</v>
      </c>
      <c r="B25" s="152">
        <v>1</v>
      </c>
      <c r="C25" s="152">
        <v>56</v>
      </c>
      <c r="D25" s="152">
        <v>345</v>
      </c>
      <c r="E25" s="149">
        <v>23</v>
      </c>
    </row>
    <row r="26" spans="1:5">
      <c r="A26" s="151" t="s">
        <v>677</v>
      </c>
      <c r="B26" s="152">
        <v>2</v>
      </c>
      <c r="C26" s="152">
        <v>6</v>
      </c>
      <c r="D26" s="152">
        <v>23</v>
      </c>
      <c r="E26" s="149">
        <v>34</v>
      </c>
    </row>
    <row r="27" spans="1:5">
      <c r="A27" s="151" t="s">
        <v>678</v>
      </c>
      <c r="B27" s="152">
        <v>4</v>
      </c>
      <c r="C27" s="152">
        <v>12</v>
      </c>
      <c r="D27" s="152">
        <v>547</v>
      </c>
      <c r="E27" s="152">
        <v>12</v>
      </c>
    </row>
    <row r="28" spans="1:5">
      <c r="A28" s="151" t="s">
        <v>679</v>
      </c>
      <c r="B28" s="152">
        <f>SUM(B24:B27)</f>
        <v>12</v>
      </c>
      <c r="C28" s="152">
        <f>C24+C25+C26+C27</f>
        <v>83</v>
      </c>
      <c r="D28" s="152">
        <f>SUM(D24,D25,D26,D27)</f>
        <v>927</v>
      </c>
      <c r="E28" s="152">
        <f>SUM(E24:E25,E26:E27)</f>
        <v>90</v>
      </c>
    </row>
    <row r="29" spans="1:5" ht="39.75" customHeight="1">
      <c r="A29" s="150" t="s">
        <v>16</v>
      </c>
      <c r="B29" s="155" t="s">
        <v>680</v>
      </c>
      <c r="C29" s="155" t="s">
        <v>681</v>
      </c>
      <c r="D29" s="155" t="s">
        <v>682</v>
      </c>
      <c r="E29" s="155" t="s">
        <v>683</v>
      </c>
    </row>
    <row r="30" spans="1:5">
      <c r="A30" s="97"/>
      <c r="B30" s="97"/>
      <c r="C30" s="97"/>
      <c r="D30" s="97"/>
      <c r="E30" s="97"/>
    </row>
    <row r="31" spans="1:5" ht="15.75">
      <c r="A31" s="73" t="s">
        <v>684</v>
      </c>
      <c r="B31" s="97"/>
      <c r="C31" s="97"/>
    </row>
    <row r="32" spans="1:5">
      <c r="A32" s="96" t="s">
        <v>685</v>
      </c>
      <c r="B32" s="97"/>
      <c r="C32" s="97"/>
    </row>
    <row r="33" spans="1:10">
      <c r="A33" s="186" t="s">
        <v>686</v>
      </c>
      <c r="B33" s="186"/>
      <c r="C33" s="186"/>
      <c r="D33" s="146" t="s">
        <v>679</v>
      </c>
      <c r="E33" s="169" t="s">
        <v>16</v>
      </c>
      <c r="F33" s="169"/>
    </row>
    <row r="34" spans="1:10">
      <c r="A34" s="107">
        <v>5</v>
      </c>
      <c r="B34" s="97"/>
      <c r="C34" s="107">
        <v>3</v>
      </c>
      <c r="D34" s="152">
        <f>SUM(A34,A36,C34,C36,B35:B36)</f>
        <v>16</v>
      </c>
      <c r="E34" s="153" t="s">
        <v>687</v>
      </c>
      <c r="F34" s="152"/>
    </row>
    <row r="35" spans="1:10">
      <c r="A35" s="97"/>
      <c r="B35" s="152">
        <v>1</v>
      </c>
      <c r="C35" s="97"/>
    </row>
    <row r="36" spans="1:10">
      <c r="A36" s="152">
        <v>1</v>
      </c>
      <c r="B36" s="152">
        <v>2</v>
      </c>
      <c r="C36" s="152">
        <v>4</v>
      </c>
    </row>
    <row r="37" spans="1:10">
      <c r="A37" s="97"/>
      <c r="B37" s="97"/>
      <c r="C37" s="97"/>
    </row>
    <row r="38" spans="1:10" ht="15.75">
      <c r="A38" s="73" t="s">
        <v>25</v>
      </c>
      <c r="B38" s="97"/>
      <c r="C38" s="97"/>
    </row>
    <row r="39" spans="1:10">
      <c r="A39" s="221" t="s">
        <v>688</v>
      </c>
      <c r="B39" s="221"/>
      <c r="C39" s="221"/>
      <c r="D39" s="221"/>
      <c r="E39" s="221"/>
      <c r="F39" s="221"/>
      <c r="G39" s="221"/>
      <c r="H39" s="221"/>
      <c r="I39" s="221"/>
      <c r="J39" s="221"/>
    </row>
    <row r="40" spans="1:10">
      <c r="A40" s="221"/>
      <c r="B40" s="221"/>
      <c r="C40" s="221"/>
      <c r="D40" s="221"/>
      <c r="E40" s="221"/>
      <c r="F40" s="221"/>
      <c r="G40" s="221"/>
      <c r="H40" s="221"/>
      <c r="I40" s="221"/>
      <c r="J40" s="221"/>
    </row>
    <row r="41" spans="1:10">
      <c r="A41" s="97"/>
      <c r="B41" s="97"/>
      <c r="C41" s="97"/>
    </row>
    <row r="42" spans="1:10" ht="15.75">
      <c r="A42" s="73" t="s">
        <v>308</v>
      </c>
    </row>
    <row r="43" spans="1:10">
      <c r="A43" t="s">
        <v>689</v>
      </c>
    </row>
    <row r="44" spans="1:10">
      <c r="A44" s="186" t="s">
        <v>686</v>
      </c>
      <c r="B44" s="186"/>
      <c r="C44" s="186"/>
      <c r="D44" s="146" t="s">
        <v>49</v>
      </c>
    </row>
    <row r="45" spans="1:10">
      <c r="A45" s="152">
        <v>1</v>
      </c>
      <c r="B45" s="72"/>
      <c r="C45" s="72"/>
      <c r="D45" s="79"/>
    </row>
    <row r="46" spans="1:10">
      <c r="A46" s="152">
        <v>100</v>
      </c>
      <c r="B46" s="72"/>
      <c r="C46" s="152">
        <v>500</v>
      </c>
    </row>
    <row r="47" spans="1:10">
      <c r="A47" s="72"/>
      <c r="B47" s="152">
        <v>200</v>
      </c>
      <c r="C47" s="72"/>
    </row>
    <row r="50" spans="1:10" ht="15.75">
      <c r="A50" s="73" t="s">
        <v>311</v>
      </c>
    </row>
    <row r="51" spans="1:10">
      <c r="A51" s="167" t="s">
        <v>690</v>
      </c>
      <c r="B51" s="167"/>
      <c r="C51" s="167"/>
      <c r="D51" s="167"/>
      <c r="E51" s="167"/>
      <c r="F51" s="167"/>
      <c r="G51" s="167"/>
      <c r="H51" s="167"/>
      <c r="I51" s="167"/>
      <c r="J51" s="167"/>
    </row>
    <row r="52" spans="1:10">
      <c r="A52" s="167"/>
      <c r="B52" s="167"/>
      <c r="C52" s="167"/>
      <c r="D52" s="167"/>
      <c r="E52" s="167"/>
      <c r="F52" s="167"/>
      <c r="G52" s="167"/>
      <c r="H52" s="167"/>
      <c r="I52" s="167"/>
      <c r="J52" s="167"/>
    </row>
    <row r="53" spans="1:10" ht="30">
      <c r="A53" s="150" t="s">
        <v>691</v>
      </c>
      <c r="B53" s="159" t="s">
        <v>114</v>
      </c>
      <c r="C53" s="159" t="s">
        <v>671</v>
      </c>
      <c r="D53" s="159" t="s">
        <v>692</v>
      </c>
      <c r="E53" s="159" t="s">
        <v>693</v>
      </c>
      <c r="F53" s="165" t="s">
        <v>49</v>
      </c>
    </row>
    <row r="54" spans="1:10">
      <c r="A54" s="159" t="s">
        <v>694</v>
      </c>
      <c r="B54" s="157">
        <v>5</v>
      </c>
      <c r="C54" s="157">
        <v>1</v>
      </c>
      <c r="D54" s="157">
        <v>2</v>
      </c>
      <c r="E54" s="157">
        <v>4</v>
      </c>
      <c r="F54" s="152">
        <f>IF(B54&gt;1,SUM(B54:E54),0)</f>
        <v>12</v>
      </c>
      <c r="G54" s="104" t="s">
        <v>695</v>
      </c>
    </row>
    <row r="55" spans="1:10">
      <c r="A55" s="159" t="s">
        <v>696</v>
      </c>
      <c r="B55" s="157">
        <v>9</v>
      </c>
      <c r="C55" s="157">
        <v>56</v>
      </c>
      <c r="D55" s="157">
        <v>6</v>
      </c>
      <c r="E55" s="157">
        <v>12</v>
      </c>
      <c r="F55" s="152"/>
    </row>
    <row r="56" spans="1:10">
      <c r="A56" s="159" t="s">
        <v>697</v>
      </c>
      <c r="B56" s="157">
        <v>12</v>
      </c>
      <c r="C56" s="157">
        <v>345</v>
      </c>
      <c r="D56" s="157">
        <v>23</v>
      </c>
      <c r="E56" s="157">
        <v>547</v>
      </c>
      <c r="F56" s="152"/>
    </row>
    <row r="57" spans="1:10">
      <c r="A57" s="159" t="s">
        <v>698</v>
      </c>
      <c r="B57" s="157">
        <v>84.3</v>
      </c>
      <c r="C57" s="157">
        <v>59.8</v>
      </c>
      <c r="D57" s="157">
        <v>80.900000000000006</v>
      </c>
      <c r="E57" s="157">
        <v>80.5</v>
      </c>
      <c r="F57" s="152"/>
    </row>
    <row r="58" spans="1:10">
      <c r="A58" s="159" t="s">
        <v>699</v>
      </c>
      <c r="B58" s="157">
        <v>9.8000000000000007</v>
      </c>
      <c r="C58" s="157">
        <v>0.2</v>
      </c>
      <c r="D58" s="157">
        <v>38</v>
      </c>
      <c r="E58" s="157">
        <v>80.900000000000006</v>
      </c>
      <c r="F58" s="152"/>
    </row>
    <row r="61" spans="1:10" ht="15.75">
      <c r="A61" s="73" t="s">
        <v>700</v>
      </c>
    </row>
    <row r="62" spans="1:10">
      <c r="A62" s="167" t="s">
        <v>701</v>
      </c>
      <c r="B62" s="167"/>
      <c r="C62" s="167"/>
      <c r="D62" s="167"/>
      <c r="E62" s="167"/>
      <c r="F62" s="167"/>
      <c r="G62" s="167"/>
      <c r="H62" s="167"/>
      <c r="I62" s="167"/>
      <c r="J62" s="167"/>
    </row>
    <row r="63" spans="1:10">
      <c r="A63" s="167"/>
      <c r="B63" s="167"/>
      <c r="C63" s="167"/>
      <c r="D63" s="167"/>
      <c r="E63" s="167"/>
      <c r="F63" s="167"/>
      <c r="G63" s="167"/>
      <c r="H63" s="167"/>
      <c r="I63" s="167"/>
      <c r="J63" s="167"/>
    </row>
    <row r="64" spans="1:10" ht="30">
      <c r="A64" s="150" t="s">
        <v>702</v>
      </c>
      <c r="B64" s="150" t="s">
        <v>703</v>
      </c>
      <c r="C64" s="159" t="s">
        <v>114</v>
      </c>
      <c r="D64" s="159" t="s">
        <v>671</v>
      </c>
      <c r="E64" s="159" t="s">
        <v>692</v>
      </c>
      <c r="F64" s="159" t="s">
        <v>693</v>
      </c>
      <c r="G64" s="165" t="s">
        <v>49</v>
      </c>
    </row>
    <row r="65" spans="1:10">
      <c r="A65" s="159" t="s">
        <v>694</v>
      </c>
      <c r="B65" s="159" t="s">
        <v>704</v>
      </c>
      <c r="C65" s="157">
        <v>5</v>
      </c>
      <c r="D65" s="157">
        <v>1</v>
      </c>
      <c r="E65" s="157">
        <v>2</v>
      </c>
      <c r="F65" s="157">
        <v>4</v>
      </c>
      <c r="G65" s="152">
        <f>IF(AND(C65&gt;1,E65&gt;=2),SUM(C65:F65),0)</f>
        <v>12</v>
      </c>
      <c r="H65" s="104" t="s">
        <v>705</v>
      </c>
    </row>
    <row r="66" spans="1:10">
      <c r="A66" s="159" t="s">
        <v>696</v>
      </c>
      <c r="B66" s="159" t="s">
        <v>706</v>
      </c>
      <c r="C66" s="157">
        <v>9</v>
      </c>
      <c r="D66" s="157">
        <v>56</v>
      </c>
      <c r="E66" s="157">
        <v>6</v>
      </c>
      <c r="F66" s="157">
        <v>12</v>
      </c>
      <c r="G66" s="152"/>
    </row>
    <row r="67" spans="1:10">
      <c r="A67" s="159" t="s">
        <v>697</v>
      </c>
      <c r="B67" s="159" t="s">
        <v>707</v>
      </c>
      <c r="C67" s="157">
        <v>12</v>
      </c>
      <c r="D67" s="157">
        <v>345</v>
      </c>
      <c r="E67" s="157">
        <v>23</v>
      </c>
      <c r="F67" s="157">
        <v>547</v>
      </c>
      <c r="G67" s="152"/>
    </row>
    <row r="68" spans="1:10">
      <c r="A68" s="159" t="s">
        <v>698</v>
      </c>
      <c r="B68" s="159" t="s">
        <v>708</v>
      </c>
      <c r="C68" s="157">
        <v>84.3</v>
      </c>
      <c r="D68" s="157">
        <v>59.8</v>
      </c>
      <c r="E68" s="157">
        <v>80.900000000000006</v>
      </c>
      <c r="F68" s="157">
        <v>80.5</v>
      </c>
      <c r="G68" s="152"/>
    </row>
    <row r="69" spans="1:10">
      <c r="A69" s="159" t="s">
        <v>699</v>
      </c>
      <c r="B69" s="159" t="s">
        <v>709</v>
      </c>
      <c r="C69" s="157">
        <v>9.8000000000000007</v>
      </c>
      <c r="D69" s="157">
        <v>0.2</v>
      </c>
      <c r="E69" s="157">
        <v>38</v>
      </c>
      <c r="F69" s="157">
        <v>80.900000000000006</v>
      </c>
      <c r="G69" s="152"/>
    </row>
    <row r="72" spans="1:10" ht="15.75">
      <c r="A72" s="73" t="s">
        <v>710</v>
      </c>
    </row>
    <row r="73" spans="1:10">
      <c r="A73" s="167" t="s">
        <v>711</v>
      </c>
      <c r="B73" s="167"/>
      <c r="C73" s="167"/>
      <c r="D73" s="167"/>
      <c r="E73" s="167"/>
      <c r="F73" s="167"/>
      <c r="G73" s="167"/>
      <c r="H73" s="167"/>
      <c r="I73" s="167"/>
      <c r="J73" s="167"/>
    </row>
    <row r="74" spans="1:10">
      <c r="A74" s="167"/>
      <c r="B74" s="167"/>
      <c r="C74" s="167"/>
      <c r="D74" s="167"/>
      <c r="E74" s="167"/>
      <c r="F74" s="167"/>
      <c r="G74" s="167"/>
      <c r="H74" s="167"/>
      <c r="I74" s="167"/>
      <c r="J74" s="167"/>
    </row>
    <row r="75" spans="1:10" ht="30">
      <c r="A75" s="150" t="s">
        <v>702</v>
      </c>
      <c r="B75" s="150" t="s">
        <v>703</v>
      </c>
      <c r="C75" s="159" t="s">
        <v>114</v>
      </c>
      <c r="D75" s="159" t="s">
        <v>671</v>
      </c>
      <c r="E75" s="159" t="s">
        <v>692</v>
      </c>
      <c r="F75" s="159" t="s">
        <v>693</v>
      </c>
      <c r="G75" s="165" t="s">
        <v>49</v>
      </c>
    </row>
    <row r="76" spans="1:10">
      <c r="A76" s="159" t="s">
        <v>694</v>
      </c>
      <c r="B76" s="159" t="s">
        <v>704</v>
      </c>
      <c r="C76" s="157">
        <v>5</v>
      </c>
      <c r="D76" s="157">
        <v>1</v>
      </c>
      <c r="E76" s="157">
        <v>2</v>
      </c>
      <c r="F76" s="157">
        <v>4</v>
      </c>
      <c r="G76" s="152">
        <f>IF(OR(C76&gt;1,E76&gt;=2),SUM(C76:F76),0)</f>
        <v>12</v>
      </c>
      <c r="H76" s="104" t="s">
        <v>712</v>
      </c>
    </row>
    <row r="77" spans="1:10">
      <c r="A77" s="159" t="s">
        <v>696</v>
      </c>
      <c r="B77" s="159" t="s">
        <v>706</v>
      </c>
      <c r="C77" s="157">
        <v>9</v>
      </c>
      <c r="D77" s="157">
        <v>56</v>
      </c>
      <c r="E77" s="157">
        <v>6</v>
      </c>
      <c r="F77" s="157">
        <v>12</v>
      </c>
      <c r="G77" s="152"/>
    </row>
    <row r="78" spans="1:10">
      <c r="A78" s="159" t="s">
        <v>697</v>
      </c>
      <c r="B78" s="159" t="s">
        <v>707</v>
      </c>
      <c r="C78" s="157">
        <v>12</v>
      </c>
      <c r="D78" s="157">
        <v>345</v>
      </c>
      <c r="E78" s="157">
        <v>23</v>
      </c>
      <c r="F78" s="157">
        <v>547</v>
      </c>
      <c r="G78" s="152"/>
    </row>
    <row r="79" spans="1:10">
      <c r="A79" s="159" t="s">
        <v>698</v>
      </c>
      <c r="B79" s="159" t="s">
        <v>708</v>
      </c>
      <c r="C79" s="157">
        <v>84.3</v>
      </c>
      <c r="D79" s="157">
        <v>59.8</v>
      </c>
      <c r="E79" s="157">
        <v>80.900000000000006</v>
      </c>
      <c r="F79" s="157">
        <v>80.5</v>
      </c>
      <c r="G79" s="152"/>
    </row>
    <row r="80" spans="1:10">
      <c r="A80" s="159" t="s">
        <v>699</v>
      </c>
      <c r="B80" s="159" t="s">
        <v>709</v>
      </c>
      <c r="C80" s="157">
        <v>9.8000000000000007</v>
      </c>
      <c r="D80" s="157">
        <v>0.2</v>
      </c>
      <c r="E80" s="157">
        <v>38</v>
      </c>
      <c r="F80" s="157">
        <v>80.900000000000006</v>
      </c>
      <c r="G80" s="152"/>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42" zoomScale="90" zoomScaleNormal="90" workbookViewId="0">
      <selection sqref="A1:B1"/>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713</v>
      </c>
      <c r="B1" s="196"/>
      <c r="C1" s="94"/>
      <c r="D1" s="76"/>
      <c r="E1" s="76"/>
      <c r="F1" s="76"/>
      <c r="G1" s="76"/>
      <c r="H1" s="76"/>
      <c r="I1" s="76"/>
      <c r="J1" s="76"/>
      <c r="K1" s="76"/>
    </row>
    <row r="2" spans="1:11" ht="15.75" thickTop="1"/>
    <row r="3" spans="1:11" ht="18.75">
      <c r="A3" s="74" t="s">
        <v>1</v>
      </c>
    </row>
    <row r="4" spans="1:11" ht="15" customHeight="1">
      <c r="A4" s="200" t="s">
        <v>714</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715</v>
      </c>
    </row>
    <row r="9" spans="1:11" ht="15.75">
      <c r="A9" s="73" t="s">
        <v>636</v>
      </c>
    </row>
    <row r="10" spans="1:11">
      <c r="A10" t="s">
        <v>716</v>
      </c>
    </row>
    <row r="11" spans="1:11">
      <c r="A11" s="103"/>
    </row>
    <row r="12" spans="1:11" ht="15.75">
      <c r="A12" s="73" t="s">
        <v>717</v>
      </c>
    </row>
    <row r="13" spans="1:11">
      <c r="A13" t="s">
        <v>718</v>
      </c>
    </row>
    <row r="14" spans="1:11">
      <c r="A14" s="103"/>
    </row>
    <row r="15" spans="1:11" ht="15.75">
      <c r="A15" s="73" t="s">
        <v>719</v>
      </c>
    </row>
    <row r="16" spans="1:11">
      <c r="A16" s="167" t="s">
        <v>720</v>
      </c>
      <c r="B16" s="167"/>
      <c r="C16" s="167"/>
      <c r="D16" s="167"/>
      <c r="E16" s="167"/>
      <c r="F16" s="167"/>
      <c r="G16" s="167"/>
      <c r="H16" s="167"/>
      <c r="I16" s="167"/>
      <c r="J16" s="167"/>
    </row>
    <row r="17" spans="1:10">
      <c r="A17" s="167"/>
      <c r="B17" s="167"/>
      <c r="C17" s="167"/>
      <c r="D17" s="167"/>
      <c r="E17" s="167"/>
      <c r="F17" s="167"/>
      <c r="G17" s="167"/>
      <c r="H17" s="167"/>
      <c r="I17" s="167"/>
      <c r="J17" s="167"/>
    </row>
    <row r="18" spans="1:10">
      <c r="A18" s="103"/>
    </row>
    <row r="19" spans="1:10" ht="15.75">
      <c r="A19" s="73" t="s">
        <v>45</v>
      </c>
    </row>
    <row r="20" spans="1:10">
      <c r="A20" s="96" t="s">
        <v>721</v>
      </c>
    </row>
    <row r="21" spans="1:10">
      <c r="A21" s="151" t="s">
        <v>647</v>
      </c>
      <c r="B21" s="151" t="s">
        <v>722</v>
      </c>
      <c r="C21" s="146" t="s">
        <v>30</v>
      </c>
      <c r="D21" s="146" t="s">
        <v>723</v>
      </c>
      <c r="E21" s="146" t="s">
        <v>31</v>
      </c>
    </row>
    <row r="22" spans="1:10">
      <c r="A22" s="161" t="s">
        <v>32</v>
      </c>
      <c r="B22" s="161" t="s">
        <v>600</v>
      </c>
      <c r="C22" s="160" t="s">
        <v>33</v>
      </c>
      <c r="D22" s="162">
        <v>42736</v>
      </c>
      <c r="E22" s="108">
        <v>40000</v>
      </c>
    </row>
    <row r="23" spans="1:10">
      <c r="A23" s="161" t="s">
        <v>34</v>
      </c>
      <c r="B23" s="161" t="s">
        <v>594</v>
      </c>
      <c r="C23" s="160" t="s">
        <v>33</v>
      </c>
      <c r="D23" s="162">
        <v>42705</v>
      </c>
      <c r="E23" s="108">
        <v>75000</v>
      </c>
    </row>
    <row r="24" spans="1:10">
      <c r="A24" s="161" t="s">
        <v>36</v>
      </c>
      <c r="B24" s="161" t="s">
        <v>64</v>
      </c>
      <c r="C24" s="160" t="s">
        <v>33</v>
      </c>
      <c r="D24" s="162">
        <v>42705</v>
      </c>
      <c r="E24" s="108">
        <v>30000</v>
      </c>
    </row>
    <row r="25" spans="1:10">
      <c r="A25" s="161" t="s">
        <v>37</v>
      </c>
      <c r="B25" s="152" t="s">
        <v>594</v>
      </c>
      <c r="C25" s="152" t="s">
        <v>33</v>
      </c>
      <c r="D25" s="162">
        <v>42675</v>
      </c>
      <c r="E25" s="109">
        <v>80000</v>
      </c>
    </row>
    <row r="26" spans="1:10">
      <c r="A26" s="161" t="s">
        <v>218</v>
      </c>
      <c r="B26" s="152" t="s">
        <v>600</v>
      </c>
      <c r="C26" s="152" t="s">
        <v>35</v>
      </c>
      <c r="D26" s="162">
        <v>42644</v>
      </c>
      <c r="E26" s="109">
        <v>35000</v>
      </c>
    </row>
    <row r="27" spans="1:10">
      <c r="A27" s="161" t="s">
        <v>221</v>
      </c>
      <c r="B27" s="152" t="s">
        <v>64</v>
      </c>
      <c r="C27" s="152" t="s">
        <v>35</v>
      </c>
      <c r="D27" s="162">
        <v>42675</v>
      </c>
      <c r="E27" s="109">
        <v>25000</v>
      </c>
    </row>
    <row r="28" spans="1:10">
      <c r="A28" s="161" t="s">
        <v>224</v>
      </c>
      <c r="B28" s="152" t="s">
        <v>594</v>
      </c>
      <c r="C28" s="152" t="s">
        <v>35</v>
      </c>
      <c r="D28" s="162">
        <v>42644</v>
      </c>
      <c r="E28" s="109">
        <v>60000</v>
      </c>
    </row>
    <row r="29" spans="1:10">
      <c r="A29" s="161" t="s">
        <v>724</v>
      </c>
      <c r="B29" s="152" t="s">
        <v>64</v>
      </c>
      <c r="C29" s="152" t="s">
        <v>35</v>
      </c>
      <c r="D29" s="162">
        <v>42675</v>
      </c>
      <c r="E29" s="109">
        <v>20000</v>
      </c>
    </row>
    <row r="30" spans="1:10">
      <c r="A30" s="161" t="s">
        <v>725</v>
      </c>
      <c r="B30" s="155" t="s">
        <v>598</v>
      </c>
      <c r="C30" s="152" t="s">
        <v>35</v>
      </c>
      <c r="D30" s="162">
        <v>42644</v>
      </c>
      <c r="E30" s="110">
        <v>40000</v>
      </c>
    </row>
    <row r="31" spans="1:10">
      <c r="A31" s="161" t="s">
        <v>726</v>
      </c>
      <c r="B31" s="155" t="s">
        <v>598</v>
      </c>
      <c r="C31" s="152" t="s">
        <v>35</v>
      </c>
      <c r="D31" s="162">
        <v>42644</v>
      </c>
      <c r="E31" s="110">
        <v>38000</v>
      </c>
    </row>
    <row r="32" spans="1:10" ht="15.75">
      <c r="A32" s="73"/>
      <c r="B32" s="97"/>
      <c r="C32" s="97"/>
    </row>
    <row r="33" spans="1:6" ht="15.75">
      <c r="A33" s="73"/>
      <c r="B33" s="97"/>
      <c r="C33" s="146" t="s">
        <v>679</v>
      </c>
      <c r="D33" s="222" t="s">
        <v>16</v>
      </c>
      <c r="E33" s="222"/>
      <c r="F33" s="222"/>
    </row>
    <row r="34" spans="1:6">
      <c r="A34" s="224" t="s">
        <v>727</v>
      </c>
      <c r="B34" s="224"/>
      <c r="C34" s="110">
        <f>SUMIF(B22:B31,"Analytics",E22:E31)</f>
        <v>215000</v>
      </c>
      <c r="D34" s="223" t="s">
        <v>728</v>
      </c>
      <c r="E34" s="223"/>
      <c r="F34" s="223"/>
    </row>
    <row r="35" spans="1:6">
      <c r="A35" s="224" t="s">
        <v>727</v>
      </c>
      <c r="B35" s="224"/>
      <c r="C35" s="110">
        <f>SUMIF(B22:B31,"IT",E22:E31)</f>
        <v>78000</v>
      </c>
      <c r="D35" s="223" t="s">
        <v>729</v>
      </c>
      <c r="E35" s="223"/>
      <c r="F35" s="223"/>
    </row>
    <row r="36" spans="1:6" ht="15.75">
      <c r="A36" s="73"/>
      <c r="B36" s="97"/>
      <c r="C36" s="97"/>
    </row>
    <row r="37" spans="1:6">
      <c r="A37" s="97"/>
      <c r="B37" s="97"/>
      <c r="C37" s="97"/>
    </row>
    <row r="38" spans="1:6" ht="15.75">
      <c r="A38" s="73" t="s">
        <v>52</v>
      </c>
    </row>
    <row r="39" spans="1:6">
      <c r="A39" s="96" t="s">
        <v>730</v>
      </c>
    </row>
    <row r="40" spans="1:6">
      <c r="A40" s="151" t="s">
        <v>647</v>
      </c>
      <c r="B40" s="151" t="s">
        <v>722</v>
      </c>
      <c r="C40" s="146" t="s">
        <v>30</v>
      </c>
      <c r="D40" s="146" t="s">
        <v>723</v>
      </c>
      <c r="E40" s="146" t="s">
        <v>31</v>
      </c>
    </row>
    <row r="41" spans="1:6">
      <c r="A41" s="161" t="s">
        <v>32</v>
      </c>
      <c r="B41" s="161" t="s">
        <v>600</v>
      </c>
      <c r="C41" s="160" t="s">
        <v>33</v>
      </c>
      <c r="D41" s="162">
        <v>42736</v>
      </c>
      <c r="E41" s="108">
        <v>40000</v>
      </c>
    </row>
    <row r="42" spans="1:6">
      <c r="A42" s="161" t="s">
        <v>34</v>
      </c>
      <c r="B42" s="161" t="s">
        <v>594</v>
      </c>
      <c r="C42" s="160" t="s">
        <v>33</v>
      </c>
      <c r="D42" s="162">
        <v>42705</v>
      </c>
      <c r="E42" s="108">
        <v>75000</v>
      </c>
    </row>
    <row r="43" spans="1:6">
      <c r="A43" s="161" t="s">
        <v>36</v>
      </c>
      <c r="B43" s="161" t="s">
        <v>64</v>
      </c>
      <c r="C43" s="160" t="s">
        <v>33</v>
      </c>
      <c r="D43" s="162">
        <v>42705</v>
      </c>
      <c r="E43" s="108">
        <v>30000</v>
      </c>
    </row>
    <row r="44" spans="1:6">
      <c r="A44" s="161" t="s">
        <v>37</v>
      </c>
      <c r="B44" s="152" t="s">
        <v>594</v>
      </c>
      <c r="C44" s="152" t="s">
        <v>33</v>
      </c>
      <c r="D44" s="162">
        <v>42675</v>
      </c>
      <c r="E44" s="109">
        <v>80000</v>
      </c>
    </row>
    <row r="45" spans="1:6">
      <c r="A45" s="161" t="s">
        <v>218</v>
      </c>
      <c r="B45" s="152" t="s">
        <v>600</v>
      </c>
      <c r="C45" s="152" t="s">
        <v>35</v>
      </c>
      <c r="D45" s="162">
        <v>42644</v>
      </c>
      <c r="E45" s="109">
        <v>35000</v>
      </c>
    </row>
    <row r="46" spans="1:6">
      <c r="A46" s="161" t="s">
        <v>221</v>
      </c>
      <c r="B46" s="152" t="s">
        <v>64</v>
      </c>
      <c r="C46" s="152" t="s">
        <v>35</v>
      </c>
      <c r="D46" s="162">
        <v>42675</v>
      </c>
      <c r="E46" s="109">
        <v>25000</v>
      </c>
    </row>
    <row r="47" spans="1:6">
      <c r="A47" s="161" t="s">
        <v>224</v>
      </c>
      <c r="B47" s="152" t="s">
        <v>594</v>
      </c>
      <c r="C47" s="152" t="s">
        <v>35</v>
      </c>
      <c r="D47" s="162">
        <v>42644</v>
      </c>
      <c r="E47" s="109">
        <v>60000</v>
      </c>
    </row>
    <row r="48" spans="1:6">
      <c r="A48" s="161" t="s">
        <v>724</v>
      </c>
      <c r="B48" s="152" t="s">
        <v>64</v>
      </c>
      <c r="C48" s="152" t="s">
        <v>35</v>
      </c>
      <c r="D48" s="162">
        <v>42675</v>
      </c>
      <c r="E48" s="109">
        <v>20000</v>
      </c>
    </row>
    <row r="49" spans="1:6">
      <c r="A49" s="161" t="s">
        <v>725</v>
      </c>
      <c r="B49" s="155" t="s">
        <v>598</v>
      </c>
      <c r="C49" s="152" t="s">
        <v>35</v>
      </c>
      <c r="D49" s="162">
        <v>42644</v>
      </c>
      <c r="E49" s="110">
        <v>40000</v>
      </c>
    </row>
    <row r="50" spans="1:6">
      <c r="A50" s="161" t="s">
        <v>726</v>
      </c>
      <c r="B50" s="155" t="s">
        <v>598</v>
      </c>
      <c r="C50" s="152" t="s">
        <v>35</v>
      </c>
      <c r="D50" s="162">
        <v>42644</v>
      </c>
      <c r="E50" s="110">
        <v>38000</v>
      </c>
    </row>
    <row r="51" spans="1:6" ht="15.75">
      <c r="A51" s="73"/>
      <c r="B51" s="97"/>
      <c r="C51" s="97"/>
    </row>
    <row r="52" spans="1:6">
      <c r="A52" s="181" t="s">
        <v>731</v>
      </c>
      <c r="B52" s="181"/>
      <c r="C52" s="146" t="s">
        <v>679</v>
      </c>
      <c r="D52" s="222" t="s">
        <v>16</v>
      </c>
      <c r="E52" s="222"/>
      <c r="F52" s="222"/>
    </row>
    <row r="53" spans="1:6">
      <c r="A53" s="181"/>
      <c r="B53" s="181"/>
      <c r="C53" s="110">
        <f>SUMIF(D41:D50,"&lt;01-Dec-2016",E41:E50)</f>
        <v>298000</v>
      </c>
      <c r="D53" s="223" t="s">
        <v>732</v>
      </c>
      <c r="E53" s="223"/>
      <c r="F53" s="223"/>
    </row>
    <row r="54" spans="1:6">
      <c r="A54" s="97"/>
      <c r="B54" s="97"/>
      <c r="C54" s="97"/>
    </row>
    <row r="55" spans="1:6">
      <c r="A55" s="97"/>
      <c r="B55" s="97"/>
      <c r="C55" s="97"/>
    </row>
    <row r="56" spans="1:6" ht="15.75">
      <c r="A56" s="73" t="s">
        <v>308</v>
      </c>
      <c r="B56" s="97"/>
      <c r="C56" s="97"/>
    </row>
    <row r="57" spans="1:6">
      <c r="A57" s="96" t="s">
        <v>733</v>
      </c>
    </row>
    <row r="58" spans="1:6">
      <c r="A58" s="151" t="s">
        <v>647</v>
      </c>
      <c r="B58" s="151" t="s">
        <v>722</v>
      </c>
      <c r="C58" s="146" t="s">
        <v>30</v>
      </c>
      <c r="D58" s="146" t="s">
        <v>723</v>
      </c>
      <c r="E58" s="146" t="s">
        <v>31</v>
      </c>
    </row>
    <row r="59" spans="1:6">
      <c r="A59" s="161" t="s">
        <v>32</v>
      </c>
      <c r="B59" s="161" t="s">
        <v>600</v>
      </c>
      <c r="C59" s="160" t="s">
        <v>33</v>
      </c>
      <c r="D59" s="162">
        <v>42736</v>
      </c>
      <c r="E59" s="108">
        <v>40000</v>
      </c>
    </row>
    <row r="60" spans="1:6">
      <c r="A60" s="161" t="s">
        <v>34</v>
      </c>
      <c r="B60" s="161" t="s">
        <v>594</v>
      </c>
      <c r="C60" s="160" t="s">
        <v>33</v>
      </c>
      <c r="D60" s="162">
        <v>42705</v>
      </c>
      <c r="E60" s="108">
        <v>75000</v>
      </c>
    </row>
    <row r="61" spans="1:6">
      <c r="A61" s="161" t="s">
        <v>36</v>
      </c>
      <c r="B61" s="161" t="s">
        <v>64</v>
      </c>
      <c r="C61" s="160" t="s">
        <v>33</v>
      </c>
      <c r="D61" s="162">
        <v>42705</v>
      </c>
      <c r="E61" s="108">
        <v>30000</v>
      </c>
    </row>
    <row r="62" spans="1:6">
      <c r="A62" s="161" t="s">
        <v>37</v>
      </c>
      <c r="B62" s="152" t="s">
        <v>594</v>
      </c>
      <c r="C62" s="152" t="s">
        <v>33</v>
      </c>
      <c r="D62" s="162">
        <v>42675</v>
      </c>
      <c r="E62" s="109">
        <v>80000</v>
      </c>
    </row>
    <row r="63" spans="1:6">
      <c r="A63" s="161" t="s">
        <v>218</v>
      </c>
      <c r="B63" s="152" t="s">
        <v>600</v>
      </c>
      <c r="C63" s="152" t="s">
        <v>35</v>
      </c>
      <c r="D63" s="162">
        <v>42644</v>
      </c>
      <c r="E63" s="109">
        <v>35000</v>
      </c>
    </row>
    <row r="64" spans="1:6">
      <c r="A64" s="161" t="s">
        <v>221</v>
      </c>
      <c r="B64" s="152" t="s">
        <v>64</v>
      </c>
      <c r="C64" s="152" t="s">
        <v>35</v>
      </c>
      <c r="D64" s="162">
        <v>42675</v>
      </c>
      <c r="E64" s="109">
        <v>25000</v>
      </c>
    </row>
    <row r="65" spans="1:6">
      <c r="A65" s="161" t="s">
        <v>224</v>
      </c>
      <c r="B65" s="152" t="s">
        <v>594</v>
      </c>
      <c r="C65" s="152" t="s">
        <v>35</v>
      </c>
      <c r="D65" s="162">
        <v>42644</v>
      </c>
      <c r="E65" s="109">
        <v>60000</v>
      </c>
    </row>
    <row r="66" spans="1:6">
      <c r="A66" s="161" t="s">
        <v>724</v>
      </c>
      <c r="B66" s="152" t="s">
        <v>64</v>
      </c>
      <c r="C66" s="152" t="s">
        <v>35</v>
      </c>
      <c r="D66" s="162">
        <v>42675</v>
      </c>
      <c r="E66" s="109">
        <v>20000</v>
      </c>
    </row>
    <row r="67" spans="1:6">
      <c r="A67" s="161" t="s">
        <v>725</v>
      </c>
      <c r="B67" s="155" t="s">
        <v>598</v>
      </c>
      <c r="C67" s="152" t="s">
        <v>35</v>
      </c>
      <c r="D67" s="162">
        <v>42644</v>
      </c>
      <c r="E67" s="110">
        <v>40000</v>
      </c>
    </row>
    <row r="68" spans="1:6">
      <c r="A68" s="161" t="s">
        <v>726</v>
      </c>
      <c r="B68" s="155" t="s">
        <v>598</v>
      </c>
      <c r="C68" s="152" t="s">
        <v>35</v>
      </c>
      <c r="D68" s="162">
        <v>42644</v>
      </c>
      <c r="E68" s="110">
        <v>38000</v>
      </c>
    </row>
    <row r="69" spans="1:6" ht="15.75">
      <c r="A69" s="73"/>
      <c r="B69" s="97"/>
      <c r="C69" s="97"/>
    </row>
    <row r="70" spans="1:6" ht="15.75">
      <c r="A70" s="73"/>
      <c r="B70" s="97"/>
      <c r="C70" s="146" t="s">
        <v>49</v>
      </c>
      <c r="D70" s="222" t="s">
        <v>16</v>
      </c>
      <c r="E70" s="222"/>
      <c r="F70" s="222"/>
    </row>
    <row r="71" spans="1:6">
      <c r="A71" s="224" t="s">
        <v>727</v>
      </c>
      <c r="B71" s="224"/>
      <c r="C71" s="110">
        <v>225000</v>
      </c>
      <c r="D71" s="225"/>
      <c r="E71" s="225"/>
      <c r="F71" s="225"/>
    </row>
    <row r="74" spans="1:6" ht="15.75">
      <c r="A74" s="73" t="s">
        <v>311</v>
      </c>
      <c r="B74" s="97"/>
      <c r="C74" s="97"/>
    </row>
    <row r="75" spans="1:6">
      <c r="A75" s="96" t="s">
        <v>734</v>
      </c>
    </row>
    <row r="76" spans="1:6">
      <c r="A76" s="151" t="s">
        <v>647</v>
      </c>
      <c r="B76" s="151" t="s">
        <v>722</v>
      </c>
      <c r="C76" s="146" t="s">
        <v>30</v>
      </c>
      <c r="D76" s="146" t="s">
        <v>723</v>
      </c>
      <c r="E76" s="146" t="s">
        <v>31</v>
      </c>
    </row>
    <row r="77" spans="1:6">
      <c r="A77" s="161" t="s">
        <v>32</v>
      </c>
      <c r="B77" s="161" t="s">
        <v>600</v>
      </c>
      <c r="C77" s="160" t="s">
        <v>33</v>
      </c>
      <c r="D77" s="162">
        <v>42736</v>
      </c>
      <c r="E77" s="108">
        <v>40000</v>
      </c>
    </row>
    <row r="78" spans="1:6">
      <c r="A78" s="161" t="s">
        <v>34</v>
      </c>
      <c r="B78" s="161" t="s">
        <v>594</v>
      </c>
      <c r="C78" s="160" t="s">
        <v>33</v>
      </c>
      <c r="D78" s="162">
        <v>42705</v>
      </c>
      <c r="E78" s="108">
        <v>75000</v>
      </c>
    </row>
    <row r="79" spans="1:6">
      <c r="A79" s="161" t="s">
        <v>36</v>
      </c>
      <c r="B79" s="161" t="s">
        <v>64</v>
      </c>
      <c r="C79" s="160" t="s">
        <v>33</v>
      </c>
      <c r="D79" s="162">
        <v>42705</v>
      </c>
      <c r="E79" s="108">
        <v>30000</v>
      </c>
    </row>
    <row r="80" spans="1:6">
      <c r="A80" s="161" t="s">
        <v>37</v>
      </c>
      <c r="B80" s="152" t="s">
        <v>594</v>
      </c>
      <c r="C80" s="152" t="s">
        <v>33</v>
      </c>
      <c r="D80" s="162">
        <v>42675</v>
      </c>
      <c r="E80" s="109">
        <v>80000</v>
      </c>
    </row>
    <row r="81" spans="1:6">
      <c r="A81" s="161" t="s">
        <v>218</v>
      </c>
      <c r="B81" s="152" t="s">
        <v>600</v>
      </c>
      <c r="C81" s="152" t="s">
        <v>35</v>
      </c>
      <c r="D81" s="162">
        <v>42644</v>
      </c>
      <c r="E81" s="109">
        <v>35000</v>
      </c>
    </row>
    <row r="82" spans="1:6">
      <c r="A82" s="161" t="s">
        <v>221</v>
      </c>
      <c r="B82" s="152" t="s">
        <v>64</v>
      </c>
      <c r="C82" s="152" t="s">
        <v>35</v>
      </c>
      <c r="D82" s="162">
        <v>42675</v>
      </c>
      <c r="E82" s="109">
        <v>25000</v>
      </c>
    </row>
    <row r="83" spans="1:6">
      <c r="A83" s="161" t="s">
        <v>224</v>
      </c>
      <c r="B83" s="152" t="s">
        <v>594</v>
      </c>
      <c r="C83" s="152" t="s">
        <v>35</v>
      </c>
      <c r="D83" s="162">
        <v>42644</v>
      </c>
      <c r="E83" s="109">
        <v>60000</v>
      </c>
    </row>
    <row r="84" spans="1:6">
      <c r="A84" s="161" t="s">
        <v>724</v>
      </c>
      <c r="B84" s="152" t="s">
        <v>64</v>
      </c>
      <c r="C84" s="152" t="s">
        <v>35</v>
      </c>
      <c r="D84" s="162">
        <v>42675</v>
      </c>
      <c r="E84" s="109">
        <v>20000</v>
      </c>
    </row>
    <row r="85" spans="1:6">
      <c r="A85" s="161" t="s">
        <v>725</v>
      </c>
      <c r="B85" s="155" t="s">
        <v>598</v>
      </c>
      <c r="C85" s="152" t="s">
        <v>35</v>
      </c>
      <c r="D85" s="162">
        <v>42644</v>
      </c>
      <c r="E85" s="110">
        <v>40000</v>
      </c>
    </row>
    <row r="86" spans="1:6">
      <c r="A86" s="161" t="s">
        <v>726</v>
      </c>
      <c r="B86" s="155" t="s">
        <v>598</v>
      </c>
      <c r="C86" s="152" t="s">
        <v>35</v>
      </c>
      <c r="D86" s="162">
        <v>42644</v>
      </c>
      <c r="E86" s="110">
        <v>38000</v>
      </c>
    </row>
    <row r="87" spans="1:6" ht="15.75">
      <c r="A87" s="73"/>
      <c r="B87" s="97"/>
      <c r="C87" s="97"/>
    </row>
    <row r="88" spans="1:6" ht="15.75">
      <c r="A88" s="73"/>
      <c r="B88" s="97"/>
      <c r="C88" s="146" t="s">
        <v>49</v>
      </c>
      <c r="D88" s="222" t="s">
        <v>16</v>
      </c>
      <c r="E88" s="222"/>
      <c r="F88" s="222"/>
    </row>
    <row r="89" spans="1:6">
      <c r="A89" s="224" t="s">
        <v>727</v>
      </c>
      <c r="B89" s="224"/>
      <c r="C89" s="110">
        <v>173000</v>
      </c>
      <c r="D89" s="225"/>
      <c r="E89" s="225"/>
      <c r="F89" s="225"/>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zoomScale="90" zoomScaleNormal="90" workbookViewId="0">
      <selection sqref="A1:C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735</v>
      </c>
      <c r="B1" s="196"/>
      <c r="C1" s="196"/>
      <c r="D1" s="76"/>
      <c r="E1" s="76"/>
      <c r="F1" s="76"/>
      <c r="G1" s="76"/>
      <c r="H1" s="76"/>
      <c r="I1" s="76"/>
      <c r="J1" s="76"/>
      <c r="K1" s="76"/>
    </row>
    <row r="2" spans="1:11" ht="15.75" thickTop="1"/>
    <row r="3" spans="1:11" ht="18.75">
      <c r="A3" s="74" t="s">
        <v>1</v>
      </c>
    </row>
    <row r="4" spans="1:11" ht="15" customHeight="1">
      <c r="A4" s="200" t="s">
        <v>736</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737</v>
      </c>
    </row>
    <row r="9" spans="1:11" ht="15.75">
      <c r="A9" s="73" t="s">
        <v>738</v>
      </c>
    </row>
    <row r="10" spans="1:11">
      <c r="A10" t="s">
        <v>739</v>
      </c>
    </row>
    <row r="11" spans="1:11">
      <c r="A11" s="103"/>
    </row>
    <row r="12" spans="1:11" ht="15.75">
      <c r="A12" s="73" t="s">
        <v>740</v>
      </c>
    </row>
    <row r="13" spans="1:11">
      <c r="A13" t="s">
        <v>741</v>
      </c>
    </row>
    <row r="14" spans="1:11">
      <c r="A14" s="103"/>
    </row>
    <row r="15" spans="1:11" ht="15.75">
      <c r="A15" s="73" t="s">
        <v>45</v>
      </c>
    </row>
    <row r="16" spans="1:11">
      <c r="A16" s="96" t="s">
        <v>742</v>
      </c>
    </row>
    <row r="17" spans="1:6">
      <c r="A17" s="151" t="s">
        <v>743</v>
      </c>
      <c r="B17" s="151" t="s">
        <v>744</v>
      </c>
      <c r="C17" s="146" t="s">
        <v>553</v>
      </c>
      <c r="D17" s="146" t="s">
        <v>745</v>
      </c>
    </row>
    <row r="18" spans="1:6">
      <c r="A18" s="161" t="s">
        <v>746</v>
      </c>
      <c r="B18" s="152" t="s">
        <v>68</v>
      </c>
      <c r="C18" s="112">
        <v>1.5</v>
      </c>
      <c r="D18" s="111">
        <v>100</v>
      </c>
    </row>
    <row r="19" spans="1:6">
      <c r="A19" s="161" t="s">
        <v>747</v>
      </c>
      <c r="B19" s="152" t="s">
        <v>67</v>
      </c>
      <c r="C19" s="112">
        <v>1.99</v>
      </c>
      <c r="D19" s="111">
        <v>150</v>
      </c>
    </row>
    <row r="20" spans="1:6">
      <c r="A20" s="161" t="s">
        <v>748</v>
      </c>
      <c r="B20" s="152" t="s">
        <v>67</v>
      </c>
      <c r="C20" s="112">
        <v>2.0499999999999998</v>
      </c>
      <c r="D20" s="111">
        <v>200</v>
      </c>
    </row>
    <row r="21" spans="1:6">
      <c r="A21" s="161" t="s">
        <v>749</v>
      </c>
      <c r="B21" s="152" t="s">
        <v>68</v>
      </c>
      <c r="C21" s="113">
        <v>3.5</v>
      </c>
      <c r="D21" s="111">
        <v>50</v>
      </c>
    </row>
    <row r="22" spans="1:6">
      <c r="A22" s="161" t="s">
        <v>750</v>
      </c>
      <c r="B22" s="152" t="s">
        <v>67</v>
      </c>
      <c r="C22" s="113">
        <v>4.9000000000000004</v>
      </c>
      <c r="D22" s="111">
        <v>400</v>
      </c>
    </row>
    <row r="23" spans="1:6">
      <c r="A23" s="161" t="s">
        <v>751</v>
      </c>
      <c r="B23" s="152" t="s">
        <v>68</v>
      </c>
      <c r="C23" s="113">
        <v>5</v>
      </c>
      <c r="D23" s="111">
        <v>1000</v>
      </c>
    </row>
    <row r="24" spans="1:6" ht="15.75">
      <c r="A24" s="73"/>
      <c r="B24" s="97"/>
      <c r="C24" s="97"/>
    </row>
    <row r="25" spans="1:6" ht="15.75">
      <c r="A25" s="73"/>
      <c r="B25" s="97"/>
      <c r="C25" s="146" t="s">
        <v>679</v>
      </c>
      <c r="D25" s="222" t="s">
        <v>16</v>
      </c>
      <c r="E25" s="222"/>
      <c r="F25" s="222"/>
    </row>
    <row r="26" spans="1:6">
      <c r="A26" s="226" t="s">
        <v>752</v>
      </c>
      <c r="B26" s="226"/>
      <c r="C26" s="110">
        <f>SUMPRODUCT(C18:C23,D18:D23)</f>
        <v>7993.5</v>
      </c>
      <c r="D26" s="223" t="s">
        <v>753</v>
      </c>
      <c r="E26" s="223"/>
      <c r="F26" s="223"/>
    </row>
    <row r="27" spans="1:6" ht="15.75">
      <c r="A27" s="73"/>
      <c r="B27" s="97"/>
      <c r="C27" s="97"/>
    </row>
    <row r="29" spans="1:6" ht="15.75">
      <c r="A29" s="73" t="s">
        <v>52</v>
      </c>
    </row>
    <row r="30" spans="1:6">
      <c r="A30" s="96" t="s">
        <v>754</v>
      </c>
    </row>
    <row r="31" spans="1:6">
      <c r="A31" s="151" t="s">
        <v>743</v>
      </c>
      <c r="B31" s="151" t="s">
        <v>744</v>
      </c>
      <c r="C31" s="146" t="s">
        <v>752</v>
      </c>
    </row>
    <row r="32" spans="1:6">
      <c r="A32" s="161" t="s">
        <v>746</v>
      </c>
      <c r="B32" s="152" t="s">
        <v>68</v>
      </c>
      <c r="C32" s="114">
        <v>150</v>
      </c>
    </row>
    <row r="33" spans="1:6">
      <c r="A33" s="161" t="s">
        <v>747</v>
      </c>
      <c r="B33" s="152" t="s">
        <v>67</v>
      </c>
      <c r="C33" s="114">
        <v>298.5</v>
      </c>
    </row>
    <row r="34" spans="1:6">
      <c r="A34" s="161" t="s">
        <v>748</v>
      </c>
      <c r="B34" s="152" t="s">
        <v>67</v>
      </c>
      <c r="C34" s="114">
        <v>409.99999999999994</v>
      </c>
    </row>
    <row r="35" spans="1:6">
      <c r="A35" s="161" t="s">
        <v>749</v>
      </c>
      <c r="B35" s="152" t="s">
        <v>68</v>
      </c>
      <c r="C35" s="115">
        <v>175</v>
      </c>
    </row>
    <row r="36" spans="1:6">
      <c r="A36" s="161" t="s">
        <v>750</v>
      </c>
      <c r="B36" s="152" t="s">
        <v>67</v>
      </c>
      <c r="C36" s="115">
        <v>1960.0000000000002</v>
      </c>
    </row>
    <row r="37" spans="1:6">
      <c r="A37" s="161" t="s">
        <v>751</v>
      </c>
      <c r="B37" s="152" t="s">
        <v>68</v>
      </c>
      <c r="C37" s="115">
        <v>5000</v>
      </c>
    </row>
    <row r="38" spans="1:6" ht="15.75">
      <c r="A38" s="73"/>
      <c r="B38" s="97"/>
      <c r="C38" s="97"/>
    </row>
    <row r="39" spans="1:6" ht="15.75">
      <c r="A39" s="73"/>
      <c r="B39" s="97"/>
      <c r="C39" s="146" t="s">
        <v>679</v>
      </c>
      <c r="D39" s="222" t="s">
        <v>16</v>
      </c>
      <c r="E39" s="222"/>
      <c r="F39" s="222"/>
    </row>
    <row r="40" spans="1:6">
      <c r="A40" s="226" t="s">
        <v>755</v>
      </c>
      <c r="B40" s="226"/>
      <c r="C40" s="116">
        <f>SUMPRODUCT(--(B32:B37="YES"))</f>
        <v>3</v>
      </c>
      <c r="D40" s="223" t="s">
        <v>756</v>
      </c>
      <c r="E40" s="223"/>
      <c r="F40" s="223"/>
    </row>
    <row r="41" spans="1:6">
      <c r="A41" s="226" t="s">
        <v>757</v>
      </c>
      <c r="B41" s="226"/>
      <c r="C41" s="110">
        <f>SUMPRODUCT(--(B32:B37="YES"),C32:C37)</f>
        <v>2668.5</v>
      </c>
      <c r="D41" s="223" t="s">
        <v>758</v>
      </c>
      <c r="E41" s="223"/>
      <c r="F41" s="223"/>
    </row>
    <row r="44" spans="1:6" ht="15.75">
      <c r="A44" s="73" t="s">
        <v>308</v>
      </c>
    </row>
    <row r="45" spans="1:6">
      <c r="A45" s="96" t="s">
        <v>742</v>
      </c>
    </row>
    <row r="46" spans="1:6">
      <c r="A46" s="151" t="s">
        <v>743</v>
      </c>
      <c r="B46" s="151" t="s">
        <v>744</v>
      </c>
      <c r="C46" s="146" t="s">
        <v>64</v>
      </c>
      <c r="D46" s="146" t="s">
        <v>745</v>
      </c>
    </row>
    <row r="47" spans="1:6">
      <c r="A47" s="161" t="s">
        <v>746</v>
      </c>
      <c r="B47" s="152" t="s">
        <v>68</v>
      </c>
      <c r="C47" s="112">
        <v>3.1</v>
      </c>
      <c r="D47" s="111">
        <v>500</v>
      </c>
    </row>
    <row r="48" spans="1:6">
      <c r="A48" s="161" t="s">
        <v>747</v>
      </c>
      <c r="B48" s="152" t="s">
        <v>67</v>
      </c>
      <c r="C48" s="112">
        <v>2.5</v>
      </c>
      <c r="D48" s="111">
        <v>150</v>
      </c>
    </row>
    <row r="49" spans="1:6">
      <c r="A49" s="161" t="s">
        <v>748</v>
      </c>
      <c r="B49" s="152" t="s">
        <v>67</v>
      </c>
      <c r="C49" s="112">
        <v>10</v>
      </c>
      <c r="D49" s="111">
        <v>100</v>
      </c>
    </row>
    <row r="50" spans="1:6">
      <c r="A50" s="161" t="s">
        <v>749</v>
      </c>
      <c r="B50" s="152" t="s">
        <v>68</v>
      </c>
      <c r="C50" s="113">
        <v>1</v>
      </c>
      <c r="D50" s="111">
        <v>500</v>
      </c>
    </row>
    <row r="51" spans="1:6">
      <c r="A51" s="161" t="s">
        <v>750</v>
      </c>
      <c r="B51" s="152" t="s">
        <v>67</v>
      </c>
      <c r="C51" s="113">
        <v>4</v>
      </c>
      <c r="D51" s="111">
        <v>200</v>
      </c>
    </row>
    <row r="52" spans="1:6">
      <c r="A52" s="161" t="s">
        <v>751</v>
      </c>
      <c r="B52" s="152" t="s">
        <v>68</v>
      </c>
      <c r="C52" s="113">
        <v>2</v>
      </c>
      <c r="D52" s="111">
        <v>2000</v>
      </c>
    </row>
    <row r="53" spans="1:6" ht="15.75">
      <c r="A53" s="73"/>
      <c r="B53" s="97"/>
      <c r="C53" s="97"/>
    </row>
    <row r="54" spans="1:6" ht="15.75">
      <c r="A54" s="73"/>
      <c r="B54" s="97"/>
      <c r="C54" s="146" t="s">
        <v>679</v>
      </c>
      <c r="D54" s="222" t="s">
        <v>16</v>
      </c>
      <c r="E54" s="222"/>
      <c r="F54" s="222"/>
    </row>
    <row r="55" spans="1:6">
      <c r="A55" s="226" t="s">
        <v>759</v>
      </c>
      <c r="B55" s="226"/>
      <c r="C55" s="110">
        <v>8225</v>
      </c>
      <c r="D55" s="223"/>
      <c r="E55" s="223"/>
      <c r="F55" s="223"/>
    </row>
    <row r="56" spans="1:6" ht="15.75">
      <c r="A56" s="73"/>
      <c r="B56" s="97"/>
      <c r="C56" s="97"/>
    </row>
    <row r="58" spans="1:6" ht="15.75">
      <c r="A58" s="73" t="s">
        <v>311</v>
      </c>
    </row>
    <row r="59" spans="1:6">
      <c r="A59" s="96" t="s">
        <v>760</v>
      </c>
    </row>
    <row r="60" spans="1:6">
      <c r="A60" s="151" t="s">
        <v>743</v>
      </c>
      <c r="B60" s="151" t="s">
        <v>744</v>
      </c>
      <c r="C60" s="146" t="s">
        <v>752</v>
      </c>
    </row>
    <row r="61" spans="1:6">
      <c r="A61" s="161" t="s">
        <v>746</v>
      </c>
      <c r="B61" s="152" t="s">
        <v>68</v>
      </c>
      <c r="C61" s="114">
        <v>150</v>
      </c>
    </row>
    <row r="62" spans="1:6">
      <c r="A62" s="161" t="s">
        <v>747</v>
      </c>
      <c r="B62" s="152" t="s">
        <v>67</v>
      </c>
      <c r="C62" s="114">
        <v>298.5</v>
      </c>
    </row>
    <row r="63" spans="1:6">
      <c r="A63" s="161" t="s">
        <v>748</v>
      </c>
      <c r="B63" s="152" t="s">
        <v>67</v>
      </c>
      <c r="C63" s="114">
        <v>409.99999999999994</v>
      </c>
    </row>
    <row r="64" spans="1:6">
      <c r="A64" s="161" t="s">
        <v>749</v>
      </c>
      <c r="B64" s="152" t="s">
        <v>68</v>
      </c>
      <c r="C64" s="115">
        <v>175</v>
      </c>
    </row>
    <row r="65" spans="1:3">
      <c r="A65" s="161" t="s">
        <v>750</v>
      </c>
      <c r="B65" s="152" t="s">
        <v>67</v>
      </c>
      <c r="C65" s="115">
        <v>1960.0000000000002</v>
      </c>
    </row>
    <row r="66" spans="1:3">
      <c r="A66" s="161" t="s">
        <v>751</v>
      </c>
      <c r="B66" s="152" t="s">
        <v>68</v>
      </c>
      <c r="C66" s="115">
        <v>5000</v>
      </c>
    </row>
    <row r="67" spans="1:3" ht="15.75">
      <c r="A67" s="73"/>
      <c r="B67" s="97"/>
      <c r="C67" s="97"/>
    </row>
    <row r="68" spans="1:3" ht="15.75">
      <c r="A68" s="73"/>
      <c r="B68" s="97"/>
      <c r="C68" s="146" t="s">
        <v>679</v>
      </c>
    </row>
    <row r="69" spans="1:3">
      <c r="A69" s="226" t="s">
        <v>755</v>
      </c>
      <c r="B69" s="226"/>
      <c r="C69" s="116"/>
    </row>
    <row r="70" spans="1:3">
      <c r="A70" s="227" t="s">
        <v>761</v>
      </c>
      <c r="B70" s="228"/>
      <c r="C70" s="110"/>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762</v>
      </c>
      <c r="B1" s="196"/>
      <c r="C1" s="94"/>
      <c r="D1" s="76"/>
      <c r="E1" s="76"/>
      <c r="F1" s="76"/>
      <c r="G1" s="76"/>
      <c r="H1" s="76"/>
      <c r="I1" s="76"/>
      <c r="J1" s="76"/>
      <c r="K1" s="76"/>
    </row>
    <row r="2" spans="1:11" ht="15.75" thickTop="1"/>
    <row r="3" spans="1:11" ht="18.75">
      <c r="A3" s="74" t="s">
        <v>1</v>
      </c>
    </row>
    <row r="4" spans="1:11" ht="15" customHeight="1">
      <c r="A4" s="200" t="s">
        <v>763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764</v>
      </c>
    </row>
    <row r="9" spans="1:11" ht="15.75">
      <c r="A9" s="73" t="s">
        <v>765</v>
      </c>
    </row>
    <row r="10" spans="1:11">
      <c r="A10" t="s">
        <v>766</v>
      </c>
    </row>
    <row r="11" spans="1:11">
      <c r="A11" s="103"/>
    </row>
    <row r="12" spans="1:11" ht="15.75">
      <c r="A12" s="73" t="s">
        <v>11</v>
      </c>
    </row>
    <row r="13" spans="1:11">
      <c r="A13" s="96" t="s">
        <v>767</v>
      </c>
    </row>
    <row r="14" spans="1:11">
      <c r="A14" s="151" t="s">
        <v>768</v>
      </c>
      <c r="B14" s="146" t="s">
        <v>16</v>
      </c>
    </row>
    <row r="15" spans="1:11">
      <c r="A15" s="152">
        <f ca="1">RAND()</f>
        <v>2.5676356900740105E-2</v>
      </c>
      <c r="B15" s="111" t="s">
        <v>764</v>
      </c>
    </row>
    <row r="16" spans="1:11">
      <c r="A16" s="152">
        <f t="shared" ref="A16:A20" ca="1" si="0">RAND()</f>
        <v>0.88307675954959874</v>
      </c>
      <c r="B16" s="111" t="s">
        <v>764</v>
      </c>
    </row>
    <row r="17" spans="1:3">
      <c r="A17" s="152">
        <f t="shared" ca="1" si="0"/>
        <v>0.62824642327909153</v>
      </c>
      <c r="B17" s="111" t="s">
        <v>764</v>
      </c>
    </row>
    <row r="18" spans="1:3">
      <c r="A18" s="152">
        <f t="shared" ca="1" si="0"/>
        <v>0.16606201797956721</v>
      </c>
      <c r="B18" s="111" t="s">
        <v>764</v>
      </c>
    </row>
    <row r="19" spans="1:3">
      <c r="A19" s="152">
        <f t="shared" ca="1" si="0"/>
        <v>0.95339336994052626</v>
      </c>
      <c r="B19" s="111" t="s">
        <v>764</v>
      </c>
    </row>
    <row r="20" spans="1:3">
      <c r="A20" s="152">
        <f t="shared" ca="1" si="0"/>
        <v>0.95968328031154582</v>
      </c>
      <c r="B20" s="111" t="s">
        <v>764</v>
      </c>
    </row>
    <row r="21" spans="1:3" ht="15.75">
      <c r="A21" s="73"/>
      <c r="B21" s="97"/>
      <c r="C21" s="97"/>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90" zoomScaleNormal="90" workbookViewId="0">
      <selection activeCell="A18" sqref="A1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769</v>
      </c>
      <c r="B1" s="196"/>
      <c r="C1" s="196"/>
      <c r="D1" s="76"/>
      <c r="E1" s="76"/>
      <c r="F1" s="76"/>
      <c r="G1" s="76"/>
      <c r="H1" s="76"/>
      <c r="I1" s="76"/>
      <c r="J1" s="76"/>
      <c r="K1" s="76"/>
    </row>
    <row r="2" spans="1:11" ht="15.75" thickTop="1"/>
    <row r="3" spans="1:11" ht="18.75">
      <c r="A3" s="74" t="s">
        <v>1</v>
      </c>
    </row>
    <row r="4" spans="1:11" ht="15" customHeight="1">
      <c r="A4" s="200" t="s">
        <v>770</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771</v>
      </c>
    </row>
    <row r="9" spans="1:11" ht="15.75">
      <c r="A9" s="73" t="s">
        <v>772</v>
      </c>
    </row>
    <row r="10" spans="1:11">
      <c r="A10" t="s">
        <v>773</v>
      </c>
    </row>
    <row r="11" spans="1:11">
      <c r="A11" s="103"/>
    </row>
    <row r="12" spans="1:11" ht="15.75">
      <c r="A12" s="73" t="s">
        <v>774</v>
      </c>
    </row>
    <row r="13" spans="1:11">
      <c r="A13" t="s">
        <v>775</v>
      </c>
    </row>
    <row r="14" spans="1:11">
      <c r="A14" s="103"/>
    </row>
    <row r="15" spans="1:11" ht="15.75">
      <c r="A15" s="73" t="s">
        <v>11</v>
      </c>
    </row>
    <row r="16" spans="1:11">
      <c r="A16" s="96" t="s">
        <v>767</v>
      </c>
    </row>
    <row r="17" spans="1:3">
      <c r="A17" s="151" t="s">
        <v>768</v>
      </c>
      <c r="B17" s="169" t="s">
        <v>16</v>
      </c>
      <c r="C17" s="169"/>
    </row>
    <row r="18" spans="1:3">
      <c r="A18" s="152">
        <f ca="1">RANDBETWEEN(0,100000)</f>
        <v>91612</v>
      </c>
      <c r="B18" s="173" t="s">
        <v>776</v>
      </c>
      <c r="C18" s="173"/>
    </row>
    <row r="19" spans="1:3">
      <c r="A19" s="152">
        <f t="shared" ref="A19:A20" ca="1" si="0">RANDBETWEEN(0,100000)</f>
        <v>68714</v>
      </c>
      <c r="B19" s="173" t="s">
        <v>776</v>
      </c>
      <c r="C19" s="173"/>
    </row>
    <row r="20" spans="1:3">
      <c r="A20" s="152">
        <f t="shared" ca="1" si="0"/>
        <v>83895</v>
      </c>
      <c r="B20" s="173" t="s">
        <v>776</v>
      </c>
      <c r="C20" s="173"/>
    </row>
    <row r="21" spans="1:3">
      <c r="A21" s="152">
        <f ca="1">RANDBETWEEN(0,5000)</f>
        <v>4693</v>
      </c>
      <c r="B21" s="173" t="s">
        <v>777</v>
      </c>
      <c r="C21" s="173"/>
    </row>
    <row r="22" spans="1:3">
      <c r="A22" s="152">
        <f t="shared" ref="A22:A23" ca="1" si="1">RANDBETWEEN(0,5000)</f>
        <v>3168</v>
      </c>
      <c r="B22" s="173" t="s">
        <v>777</v>
      </c>
      <c r="C22" s="173"/>
    </row>
    <row r="23" spans="1:3">
      <c r="A23" s="152">
        <f t="shared" ca="1" si="1"/>
        <v>912</v>
      </c>
      <c r="B23" s="173" t="s">
        <v>777</v>
      </c>
      <c r="C23" s="173"/>
    </row>
    <row r="24" spans="1:3" ht="15.75">
      <c r="A24" s="73"/>
      <c r="B24" s="97"/>
      <c r="C24" s="97"/>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3" zoomScale="90" zoomScaleNormal="90" workbookViewId="0">
      <selection activeCell="C27" sqref="C27:D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96" t="s">
        <v>778</v>
      </c>
      <c r="B1" s="196"/>
      <c r="C1" s="94"/>
      <c r="D1" s="76"/>
      <c r="E1" s="76"/>
      <c r="F1" s="76"/>
      <c r="G1" s="76"/>
      <c r="H1" s="76"/>
      <c r="I1" s="76"/>
      <c r="J1" s="76"/>
      <c r="K1" s="76"/>
    </row>
    <row r="2" spans="1:11" ht="15.75" thickTop="1"/>
    <row r="3" spans="1:11" ht="18.75">
      <c r="A3" s="74" t="s">
        <v>1</v>
      </c>
    </row>
    <row r="4" spans="1:11" ht="15" customHeight="1">
      <c r="A4" s="200" t="s">
        <v>779</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780</v>
      </c>
    </row>
    <row r="9" spans="1:11" ht="15.75">
      <c r="A9" s="73" t="s">
        <v>781</v>
      </c>
    </row>
    <row r="10" spans="1:11">
      <c r="A10" t="s">
        <v>782</v>
      </c>
    </row>
    <row r="11" spans="1:11">
      <c r="A11" s="103"/>
    </row>
    <row r="12" spans="1:11" ht="15.75">
      <c r="A12" s="73" t="s">
        <v>783</v>
      </c>
    </row>
    <row r="13" spans="1:11">
      <c r="A13" t="s">
        <v>784</v>
      </c>
    </row>
    <row r="14" spans="1:11">
      <c r="A14" s="103"/>
    </row>
    <row r="15" spans="1:11" ht="15.75">
      <c r="A15" s="73" t="s">
        <v>11</v>
      </c>
    </row>
    <row r="16" spans="1:11">
      <c r="A16" s="96" t="s">
        <v>785</v>
      </c>
    </row>
    <row r="17" spans="1:4">
      <c r="A17" s="146" t="s">
        <v>786</v>
      </c>
      <c r="B17" s="151" t="s">
        <v>787</v>
      </c>
      <c r="C17" s="186" t="s">
        <v>16</v>
      </c>
      <c r="D17" s="186"/>
    </row>
    <row r="18" spans="1:4">
      <c r="A18" s="117">
        <v>45.397610567982859</v>
      </c>
      <c r="B18" s="118">
        <f>ROUND(A18,2)</f>
        <v>45.4</v>
      </c>
      <c r="C18" s="229" t="s">
        <v>788</v>
      </c>
      <c r="D18" s="229"/>
    </row>
    <row r="19" spans="1:4">
      <c r="A19" s="117">
        <v>50.654626487009899</v>
      </c>
      <c r="B19" s="118">
        <f>ROUND(A19,1)</f>
        <v>50.7</v>
      </c>
      <c r="C19" s="229" t="s">
        <v>789</v>
      </c>
      <c r="D19" s="229"/>
    </row>
    <row r="20" spans="1:4">
      <c r="A20" s="117">
        <v>85.413909259984749</v>
      </c>
      <c r="B20" s="119">
        <f>ROUND(A20,3)</f>
        <v>85.414000000000001</v>
      </c>
      <c r="C20" s="229" t="s">
        <v>790</v>
      </c>
      <c r="D20" s="229"/>
    </row>
    <row r="21" spans="1:4">
      <c r="A21" s="117">
        <v>33.589347121750201</v>
      </c>
      <c r="B21" s="120">
        <f>ROUND(A21,0)</f>
        <v>34</v>
      </c>
      <c r="C21" s="229" t="s">
        <v>791</v>
      </c>
      <c r="D21" s="229"/>
    </row>
    <row r="22" spans="1:4" ht="15.75">
      <c r="A22" s="73"/>
      <c r="B22" s="97"/>
      <c r="C22" s="97"/>
    </row>
    <row r="23" spans="1:4" ht="15.75">
      <c r="A23" s="73" t="s">
        <v>27</v>
      </c>
    </row>
    <row r="24" spans="1:4">
      <c r="A24" s="96" t="s">
        <v>785</v>
      </c>
    </row>
    <row r="25" spans="1:4">
      <c r="A25" s="151" t="s">
        <v>743</v>
      </c>
      <c r="B25" s="146" t="s">
        <v>49</v>
      </c>
      <c r="C25" s="186" t="s">
        <v>16</v>
      </c>
      <c r="D25" s="186"/>
    </row>
    <row r="26" spans="1:4">
      <c r="A26" s="122">
        <v>81.373000000000005</v>
      </c>
      <c r="B26" s="123">
        <v>81.37</v>
      </c>
      <c r="C26" s="263"/>
      <c r="D26" s="229"/>
    </row>
    <row r="27" spans="1:4">
      <c r="A27" s="121">
        <v>7.9596999999999998</v>
      </c>
      <c r="B27" s="123">
        <v>8</v>
      </c>
      <c r="C27" s="264"/>
      <c r="D27" s="229"/>
    </row>
    <row r="28" spans="1:4">
      <c r="A28" s="121">
        <v>521.25779999999997</v>
      </c>
      <c r="B28" s="123">
        <v>521.25800000000004</v>
      </c>
      <c r="C28" s="229"/>
      <c r="D28" s="229"/>
    </row>
    <row r="29" spans="1:4">
      <c r="A29" s="122">
        <v>4.6985000000000001</v>
      </c>
      <c r="B29" s="123">
        <v>4.7</v>
      </c>
      <c r="C29" s="229"/>
      <c r="D29" s="229"/>
    </row>
    <row r="30" spans="1:4" ht="15.75">
      <c r="A30" s="73"/>
      <c r="B30" s="97"/>
      <c r="C30" s="97"/>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792</v>
      </c>
      <c r="B1" s="196"/>
      <c r="C1" s="94"/>
      <c r="D1" s="76"/>
      <c r="E1" s="76"/>
      <c r="F1" s="76"/>
      <c r="G1" s="76"/>
      <c r="H1" s="76"/>
      <c r="I1" s="76"/>
      <c r="J1" s="76"/>
      <c r="K1" s="76"/>
    </row>
    <row r="2" spans="1:11" ht="15.75" thickTop="1"/>
    <row r="3" spans="1:11" ht="18.75">
      <c r="A3" s="74" t="s">
        <v>1</v>
      </c>
    </row>
    <row r="4" spans="1:11" ht="15" customHeight="1">
      <c r="A4" s="200" t="s">
        <v>793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794</v>
      </c>
    </row>
    <row r="9" spans="1:11" ht="15.75">
      <c r="A9" s="73" t="s">
        <v>230</v>
      </c>
    </row>
    <row r="10" spans="1:11">
      <c r="A10" t="s">
        <v>795</v>
      </c>
    </row>
    <row r="11" spans="1:11">
      <c r="A11" s="103"/>
    </row>
    <row r="12" spans="1:11" ht="15.75">
      <c r="A12" s="73" t="s">
        <v>11</v>
      </c>
    </row>
    <row r="13" spans="1:11">
      <c r="A13" s="96" t="s">
        <v>796</v>
      </c>
    </row>
    <row r="14" spans="1:11">
      <c r="A14" s="146" t="s">
        <v>786</v>
      </c>
      <c r="B14" s="151" t="s">
        <v>787</v>
      </c>
      <c r="C14" s="186" t="s">
        <v>16</v>
      </c>
      <c r="D14" s="186"/>
    </row>
    <row r="15" spans="1:11">
      <c r="A15" s="117">
        <v>45.397610567982859</v>
      </c>
      <c r="B15" s="120">
        <f>EVEN(A15)</f>
        <v>46</v>
      </c>
      <c r="C15" s="229" t="s">
        <v>797</v>
      </c>
      <c r="D15" s="229"/>
    </row>
    <row r="16" spans="1:11">
      <c r="A16" s="117">
        <v>-50.654626487009899</v>
      </c>
      <c r="B16" s="120">
        <f t="shared" ref="B16:B18" si="0">EVEN(A16)</f>
        <v>-52</v>
      </c>
      <c r="C16" s="229" t="s">
        <v>798</v>
      </c>
      <c r="D16" s="229"/>
    </row>
    <row r="17" spans="1:4">
      <c r="A17" s="117">
        <v>85.413909259984749</v>
      </c>
      <c r="B17" s="120">
        <f t="shared" si="0"/>
        <v>86</v>
      </c>
      <c r="C17" s="229" t="s">
        <v>799</v>
      </c>
      <c r="D17" s="229"/>
    </row>
    <row r="18" spans="1:4">
      <c r="A18" s="117">
        <v>31.589347121750201</v>
      </c>
      <c r="B18" s="120">
        <f t="shared" si="0"/>
        <v>32</v>
      </c>
      <c r="C18" s="229" t="s">
        <v>800</v>
      </c>
      <c r="D18" s="229"/>
    </row>
    <row r="19" spans="1:4" ht="15.75">
      <c r="A19" s="73"/>
      <c r="B19" s="97"/>
      <c r="C19" s="97"/>
    </row>
    <row r="20" spans="1:4" ht="15.75">
      <c r="A20" s="73" t="s">
        <v>27</v>
      </c>
    </row>
    <row r="21" spans="1:4">
      <c r="A21" s="96" t="s">
        <v>801</v>
      </c>
    </row>
    <row r="22" spans="1:4">
      <c r="A22" s="151" t="s">
        <v>743</v>
      </c>
      <c r="B22" s="146" t="s">
        <v>49</v>
      </c>
    </row>
    <row r="23" spans="1:4">
      <c r="A23" s="158">
        <v>1111.1110000000001</v>
      </c>
      <c r="B23" s="123">
        <f>EVEN(A23)</f>
        <v>1112</v>
      </c>
    </row>
    <row r="24" spans="1:4">
      <c r="A24" s="158">
        <v>95.3</v>
      </c>
      <c r="B24" s="123">
        <f t="shared" ref="B24:B26" si="1">EVEN(A24)</f>
        <v>96</v>
      </c>
    </row>
    <row r="25" spans="1:4">
      <c r="A25" s="158">
        <v>51.5</v>
      </c>
      <c r="B25" s="123">
        <f t="shared" si="1"/>
        <v>52</v>
      </c>
    </row>
    <row r="26" spans="1:4">
      <c r="A26" s="122">
        <v>-4.6985000000000001</v>
      </c>
      <c r="B26" s="123">
        <f t="shared" si="1"/>
        <v>-6</v>
      </c>
    </row>
    <row r="27" spans="1:4" ht="15.75">
      <c r="A27" s="73"/>
      <c r="B27" s="97"/>
      <c r="C27" s="97"/>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802</v>
      </c>
      <c r="B1" s="196"/>
      <c r="C1" s="94"/>
      <c r="D1" s="76"/>
      <c r="E1" s="76"/>
      <c r="F1" s="76"/>
      <c r="G1" s="76"/>
      <c r="H1" s="76"/>
      <c r="I1" s="76"/>
      <c r="J1" s="76"/>
      <c r="K1" s="76"/>
    </row>
    <row r="2" spans="1:11" ht="15.75" thickTop="1"/>
    <row r="3" spans="1:11" ht="18.75">
      <c r="A3" s="74" t="s">
        <v>1</v>
      </c>
    </row>
    <row r="4" spans="1:11" ht="15" customHeight="1">
      <c r="A4" s="200" t="s">
        <v>803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804</v>
      </c>
    </row>
    <row r="9" spans="1:11" ht="15.75">
      <c r="A9" s="73" t="s">
        <v>230</v>
      </c>
    </row>
    <row r="10" spans="1:11">
      <c r="A10" t="s">
        <v>805</v>
      </c>
    </row>
    <row r="11" spans="1:11">
      <c r="A11" s="103"/>
    </row>
    <row r="12" spans="1:11" ht="15.75">
      <c r="A12" s="73" t="s">
        <v>11</v>
      </c>
    </row>
    <row r="13" spans="1:11">
      <c r="A13" s="96" t="s">
        <v>806</v>
      </c>
    </row>
    <row r="14" spans="1:11">
      <c r="A14" s="146" t="s">
        <v>786</v>
      </c>
      <c r="B14" s="151" t="s">
        <v>787</v>
      </c>
      <c r="C14" s="186" t="s">
        <v>16</v>
      </c>
      <c r="D14" s="186"/>
    </row>
    <row r="15" spans="1:11">
      <c r="A15" s="117">
        <v>45.397610567982859</v>
      </c>
      <c r="B15" s="120">
        <f>ODD(A15)</f>
        <v>47</v>
      </c>
      <c r="C15" s="229" t="s">
        <v>807</v>
      </c>
      <c r="D15" s="229"/>
    </row>
    <row r="16" spans="1:11">
      <c r="A16" s="117">
        <v>-50.654626487009899</v>
      </c>
      <c r="B16" s="120">
        <f t="shared" ref="B16:B18" si="0">ODD(A16)</f>
        <v>-51</v>
      </c>
      <c r="C16" s="229" t="s">
        <v>808</v>
      </c>
      <c r="D16" s="229"/>
    </row>
    <row r="17" spans="1:4">
      <c r="A17" s="117">
        <v>85.413909259984749</v>
      </c>
      <c r="B17" s="120">
        <f t="shared" si="0"/>
        <v>87</v>
      </c>
      <c r="C17" s="229" t="s">
        <v>809</v>
      </c>
      <c r="D17" s="229"/>
    </row>
    <row r="18" spans="1:4">
      <c r="A18" s="117">
        <v>33.589347121750201</v>
      </c>
      <c r="B18" s="120">
        <f t="shared" si="0"/>
        <v>35</v>
      </c>
      <c r="C18" s="229" t="s">
        <v>810</v>
      </c>
      <c r="D18" s="229"/>
    </row>
    <row r="19" spans="1:4" ht="15.75">
      <c r="A19" s="73"/>
      <c r="B19" s="97"/>
      <c r="C19" s="97"/>
    </row>
    <row r="20" spans="1:4" ht="15.75">
      <c r="A20" s="73" t="s">
        <v>27</v>
      </c>
    </row>
    <row r="21" spans="1:4">
      <c r="A21" s="96" t="s">
        <v>811</v>
      </c>
    </row>
    <row r="22" spans="1:4">
      <c r="A22" s="151" t="s">
        <v>743</v>
      </c>
      <c r="B22" s="146" t="s">
        <v>49</v>
      </c>
    </row>
    <row r="23" spans="1:4">
      <c r="A23" s="158">
        <v>1111.1110000000001</v>
      </c>
      <c r="B23" s="123">
        <f>ODD(A23)</f>
        <v>1113</v>
      </c>
    </row>
    <row r="24" spans="1:4">
      <c r="A24" s="158">
        <v>95.3</v>
      </c>
      <c r="B24" s="123">
        <f t="shared" ref="B24:B26" si="1">ODD(A24)</f>
        <v>97</v>
      </c>
    </row>
    <row r="25" spans="1:4">
      <c r="A25" s="158">
        <v>51.5</v>
      </c>
      <c r="B25" s="123">
        <f t="shared" si="1"/>
        <v>53</v>
      </c>
    </row>
    <row r="26" spans="1:4">
      <c r="A26" s="122">
        <v>-4.6985000000000001</v>
      </c>
      <c r="B26" s="123">
        <f t="shared" si="1"/>
        <v>-5</v>
      </c>
    </row>
    <row r="27" spans="1:4" ht="15.75">
      <c r="A27" s="73"/>
      <c r="B27" s="97"/>
      <c r="C27" s="97"/>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topLeftCell="A3" zoomScale="90" zoomScaleNormal="90" workbookViewId="0">
      <selection activeCell="C26" sqref="C26:C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812</v>
      </c>
      <c r="B1" s="196"/>
      <c r="C1" s="94"/>
      <c r="D1" s="76"/>
      <c r="E1" s="76"/>
      <c r="F1" s="76"/>
      <c r="G1" s="76"/>
      <c r="H1" s="76"/>
      <c r="I1" s="76"/>
      <c r="J1" s="76"/>
      <c r="K1" s="76"/>
    </row>
    <row r="2" spans="1:11" ht="15.75" thickTop="1"/>
    <row r="3" spans="1:11" ht="18.75">
      <c r="A3" s="74" t="s">
        <v>1</v>
      </c>
    </row>
    <row r="4" spans="1:11" ht="15" customHeight="1">
      <c r="A4" s="200" t="s">
        <v>813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814</v>
      </c>
    </row>
    <row r="9" spans="1:11" ht="15.75">
      <c r="A9" s="73" t="s">
        <v>781</v>
      </c>
    </row>
    <row r="10" spans="1:11">
      <c r="A10" t="s">
        <v>815</v>
      </c>
    </row>
    <row r="12" spans="1:11" ht="15.75">
      <c r="A12" s="73" t="s">
        <v>816</v>
      </c>
    </row>
    <row r="13" spans="1:11">
      <c r="A13" t="s">
        <v>817</v>
      </c>
    </row>
    <row r="15" spans="1:11" ht="15.75">
      <c r="A15" s="73" t="s">
        <v>11</v>
      </c>
    </row>
    <row r="16" spans="1:11">
      <c r="A16" s="96" t="s">
        <v>818</v>
      </c>
    </row>
    <row r="17" spans="1:4">
      <c r="A17" s="151" t="s">
        <v>781</v>
      </c>
      <c r="B17" s="151" t="s">
        <v>816</v>
      </c>
      <c r="C17" s="146" t="s">
        <v>819</v>
      </c>
      <c r="D17" s="146" t="s">
        <v>16</v>
      </c>
    </row>
    <row r="18" spans="1:4">
      <c r="A18" s="158">
        <v>3</v>
      </c>
      <c r="B18" s="152">
        <v>5</v>
      </c>
      <c r="C18" s="147">
        <f>MOD(A18,B18)</f>
        <v>3</v>
      </c>
      <c r="D18" s="147" t="s">
        <v>820</v>
      </c>
    </row>
    <row r="19" spans="1:4">
      <c r="A19" s="158">
        <v>19</v>
      </c>
      <c r="B19" s="152">
        <v>3</v>
      </c>
      <c r="C19" s="147">
        <f>MOD(A19,B19)</f>
        <v>1</v>
      </c>
      <c r="D19" s="147" t="s">
        <v>821</v>
      </c>
    </row>
    <row r="20" spans="1:4">
      <c r="A20" s="158">
        <v>8</v>
      </c>
      <c r="B20" s="152">
        <v>2</v>
      </c>
      <c r="C20" s="147">
        <f>MOD(A20,B20)</f>
        <v>0</v>
      </c>
      <c r="D20" s="147" t="s">
        <v>822</v>
      </c>
    </row>
    <row r="21" spans="1:4">
      <c r="A21" s="158">
        <v>-8.5</v>
      </c>
      <c r="B21" s="152">
        <v>3</v>
      </c>
      <c r="C21" s="147">
        <f>MOD(A21,B21)</f>
        <v>0.5</v>
      </c>
      <c r="D21" s="147" t="s">
        <v>823</v>
      </c>
    </row>
    <row r="22" spans="1:4" ht="15.75">
      <c r="A22" s="73"/>
      <c r="B22" s="97"/>
      <c r="C22" s="97"/>
    </row>
    <row r="23" spans="1:4" ht="15.75">
      <c r="A23" s="73" t="s">
        <v>27</v>
      </c>
    </row>
    <row r="24" spans="1:4">
      <c r="A24" s="96" t="s">
        <v>824</v>
      </c>
    </row>
    <row r="25" spans="1:4">
      <c r="A25" s="151" t="s">
        <v>666</v>
      </c>
      <c r="B25" s="151" t="s">
        <v>825</v>
      </c>
      <c r="C25" s="146" t="s">
        <v>49</v>
      </c>
    </row>
    <row r="26" spans="1:4">
      <c r="A26" s="158">
        <v>5</v>
      </c>
      <c r="B26" s="152">
        <v>6</v>
      </c>
      <c r="C26" s="147">
        <f>MOD(A26,B26)</f>
        <v>5</v>
      </c>
    </row>
    <row r="27" spans="1:4">
      <c r="A27" s="158">
        <v>9</v>
      </c>
      <c r="B27" s="152">
        <v>2</v>
      </c>
      <c r="C27" s="147">
        <f t="shared" ref="C27:C29" si="0">MOD(A27,B27)</f>
        <v>1</v>
      </c>
    </row>
    <row r="28" spans="1:4">
      <c r="A28" s="158">
        <v>8</v>
      </c>
      <c r="B28" s="152">
        <v>5</v>
      </c>
      <c r="C28" s="147">
        <f t="shared" si="0"/>
        <v>3</v>
      </c>
    </row>
    <row r="29" spans="1:4">
      <c r="A29" s="122">
        <v>-4.6985000000000001</v>
      </c>
      <c r="B29" s="152">
        <v>-1</v>
      </c>
      <c r="C29" s="147">
        <f t="shared" si="0"/>
        <v>-0.69850000000000012</v>
      </c>
    </row>
    <row r="30" spans="1:4" ht="15.75">
      <c r="A30" s="73"/>
      <c r="B30" s="97"/>
      <c r="C30" s="97"/>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826</v>
      </c>
      <c r="B1" s="196"/>
      <c r="C1" s="94"/>
      <c r="D1" s="76"/>
      <c r="E1" s="76"/>
      <c r="F1" s="76"/>
      <c r="G1" s="76"/>
      <c r="H1" s="76"/>
      <c r="I1" s="76"/>
      <c r="J1" s="76"/>
      <c r="K1" s="76"/>
    </row>
    <row r="2" spans="1:11" ht="15.75" thickTop="1"/>
    <row r="3" spans="1:11" ht="18.75">
      <c r="A3" s="74" t="s">
        <v>1</v>
      </c>
    </row>
    <row r="4" spans="1:11" ht="15" customHeight="1">
      <c r="A4" s="200" t="s">
        <v>827</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828</v>
      </c>
    </row>
    <row r="9" spans="1:11" ht="15.75">
      <c r="A9" s="73" t="s">
        <v>829</v>
      </c>
    </row>
    <row r="10" spans="1:11">
      <c r="A10" t="s">
        <v>830</v>
      </c>
    </row>
    <row r="12" spans="1:11" ht="15.75">
      <c r="A12" s="73" t="s">
        <v>11</v>
      </c>
    </row>
    <row r="13" spans="1:11">
      <c r="A13" s="96" t="s">
        <v>831</v>
      </c>
    </row>
    <row r="14" spans="1:11">
      <c r="A14" s="151" t="s">
        <v>832</v>
      </c>
      <c r="B14" s="151" t="s">
        <v>833</v>
      </c>
      <c r="C14" s="146" t="s">
        <v>834</v>
      </c>
      <c r="D14" s="146" t="s">
        <v>49</v>
      </c>
      <c r="E14" s="146" t="s">
        <v>16</v>
      </c>
    </row>
    <row r="15" spans="1:11">
      <c r="A15" s="158">
        <v>3</v>
      </c>
      <c r="B15" s="152">
        <v>5</v>
      </c>
      <c r="C15" s="147">
        <v>3</v>
      </c>
      <c r="D15" s="147">
        <f>MIN(A15:C15)</f>
        <v>3</v>
      </c>
      <c r="E15" s="79" t="s">
        <v>835</v>
      </c>
    </row>
    <row r="16" spans="1:11">
      <c r="A16" s="158">
        <v>19</v>
      </c>
      <c r="B16" s="152" t="s">
        <v>126</v>
      </c>
      <c r="C16" s="147">
        <v>1</v>
      </c>
      <c r="D16" s="147">
        <f t="shared" ref="D16:D18" si="0">MIN(A16:C16)</f>
        <v>1</v>
      </c>
      <c r="E16" s="79" t="s">
        <v>836</v>
      </c>
    </row>
    <row r="17" spans="1:5">
      <c r="A17" s="158">
        <v>8</v>
      </c>
      <c r="B17" s="152" t="s">
        <v>837</v>
      </c>
      <c r="C17" s="147" t="s">
        <v>838</v>
      </c>
      <c r="D17" s="147">
        <f t="shared" si="0"/>
        <v>8</v>
      </c>
      <c r="E17" s="79" t="s">
        <v>839</v>
      </c>
    </row>
    <row r="18" spans="1:5">
      <c r="A18" s="158">
        <v>-8.5</v>
      </c>
      <c r="B18" s="152">
        <v>3</v>
      </c>
      <c r="C18" s="147">
        <v>0.5</v>
      </c>
      <c r="D18" s="147">
        <f t="shared" si="0"/>
        <v>-8.5</v>
      </c>
      <c r="E18" s="79" t="s">
        <v>840</v>
      </c>
    </row>
    <row r="19" spans="1:5" ht="15.75">
      <c r="A19" s="73"/>
      <c r="B19" s="97"/>
      <c r="C19" s="97"/>
    </row>
    <row r="20" spans="1:5" ht="15.75">
      <c r="A20" s="73" t="s">
        <v>27</v>
      </c>
    </row>
    <row r="21" spans="1:5">
      <c r="A21" s="96" t="s">
        <v>841</v>
      </c>
    </row>
    <row r="22" spans="1:5">
      <c r="A22" s="151" t="s">
        <v>832</v>
      </c>
      <c r="B22" s="151" t="s">
        <v>833</v>
      </c>
      <c r="C22" s="146" t="s">
        <v>834</v>
      </c>
      <c r="D22" s="146" t="s">
        <v>49</v>
      </c>
    </row>
    <row r="23" spans="1:5">
      <c r="A23" s="158">
        <v>3</v>
      </c>
      <c r="B23" s="152">
        <v>5</v>
      </c>
      <c r="C23" s="147">
        <v>3</v>
      </c>
      <c r="D23" s="147">
        <f>MIN(A23:C23)</f>
        <v>3</v>
      </c>
    </row>
    <row r="24" spans="1:5">
      <c r="A24" s="158">
        <v>19</v>
      </c>
      <c r="B24" s="152" t="s">
        <v>126</v>
      </c>
      <c r="C24" s="147">
        <v>1</v>
      </c>
      <c r="D24" s="147">
        <f t="shared" ref="D24:D26" si="1">MIN(A24:C24)</f>
        <v>1</v>
      </c>
    </row>
    <row r="25" spans="1:5">
      <c r="A25" s="158">
        <v>8</v>
      </c>
      <c r="B25" s="152" t="s">
        <v>837</v>
      </c>
      <c r="C25" s="147" t="s">
        <v>838</v>
      </c>
      <c r="D25" s="147">
        <f t="shared" si="1"/>
        <v>8</v>
      </c>
    </row>
    <row r="26" spans="1:5">
      <c r="A26" s="158">
        <v>-8.5</v>
      </c>
      <c r="B26" s="152">
        <v>3</v>
      </c>
      <c r="C26" s="147">
        <v>0.5</v>
      </c>
      <c r="D26" s="147">
        <f t="shared" si="1"/>
        <v>-8.5</v>
      </c>
    </row>
    <row r="27" spans="1:5" ht="15.75">
      <c r="A27" s="73"/>
      <c r="B27" s="97"/>
      <c r="C27" s="97"/>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2"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842</v>
      </c>
      <c r="B1" s="196"/>
      <c r="C1" s="94"/>
      <c r="D1" s="76"/>
      <c r="E1" s="76"/>
      <c r="F1" s="76"/>
      <c r="G1" s="76"/>
      <c r="H1" s="76"/>
      <c r="I1" s="76"/>
      <c r="J1" s="76"/>
      <c r="K1" s="76"/>
    </row>
    <row r="2" spans="1:11" ht="15.75" thickTop="1"/>
    <row r="3" spans="1:11" ht="18.75">
      <c r="A3" s="74" t="s">
        <v>1</v>
      </c>
    </row>
    <row r="4" spans="1:11" ht="15" customHeight="1">
      <c r="A4" s="200" t="s">
        <v>843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844</v>
      </c>
    </row>
    <row r="9" spans="1:11" ht="15.75">
      <c r="A9" s="73" t="s">
        <v>829</v>
      </c>
    </row>
    <row r="10" spans="1:11">
      <c r="A10" t="s">
        <v>845</v>
      </c>
    </row>
    <row r="12" spans="1:11" ht="15.75">
      <c r="A12" s="73" t="s">
        <v>11</v>
      </c>
    </row>
    <row r="13" spans="1:11">
      <c r="A13" s="96" t="s">
        <v>846</v>
      </c>
    </row>
    <row r="14" spans="1:11">
      <c r="A14" s="151" t="s">
        <v>832</v>
      </c>
      <c r="B14" s="151" t="s">
        <v>833</v>
      </c>
      <c r="C14" s="146" t="s">
        <v>834</v>
      </c>
      <c r="D14" s="146" t="s">
        <v>49</v>
      </c>
      <c r="E14" s="146" t="s">
        <v>16</v>
      </c>
    </row>
    <row r="15" spans="1:11">
      <c r="A15" s="158">
        <v>3</v>
      </c>
      <c r="B15" s="152">
        <v>5</v>
      </c>
      <c r="C15" s="147">
        <v>3</v>
      </c>
      <c r="D15" s="147">
        <f>MAX(A15:C15)</f>
        <v>5</v>
      </c>
      <c r="E15" s="79" t="s">
        <v>847</v>
      </c>
    </row>
    <row r="16" spans="1:11">
      <c r="A16" s="158">
        <v>19</v>
      </c>
      <c r="B16" s="152" t="s">
        <v>126</v>
      </c>
      <c r="C16" s="147">
        <v>1</v>
      </c>
      <c r="D16" s="147">
        <f t="shared" ref="D16:D18" si="0">MAX(A16:C16)</f>
        <v>19</v>
      </c>
      <c r="E16" s="79" t="s">
        <v>848</v>
      </c>
    </row>
    <row r="17" spans="1:5">
      <c r="A17" s="158">
        <v>8</v>
      </c>
      <c r="B17" s="152" t="s">
        <v>837</v>
      </c>
      <c r="C17" s="147" t="s">
        <v>838</v>
      </c>
      <c r="D17" s="147">
        <f t="shared" si="0"/>
        <v>8</v>
      </c>
      <c r="E17" s="79" t="s">
        <v>849</v>
      </c>
    </row>
    <row r="18" spans="1:5">
      <c r="A18" s="158">
        <v>-8.5</v>
      </c>
      <c r="B18" s="152">
        <v>3</v>
      </c>
      <c r="C18" s="147">
        <v>0.5</v>
      </c>
      <c r="D18" s="147">
        <f t="shared" si="0"/>
        <v>3</v>
      </c>
      <c r="E18" s="79" t="s">
        <v>850</v>
      </c>
    </row>
    <row r="19" spans="1:5" ht="15.75">
      <c r="A19" s="73"/>
      <c r="B19" s="97"/>
      <c r="C19" s="97"/>
    </row>
    <row r="20" spans="1:5" ht="15.75">
      <c r="A20" s="73" t="s">
        <v>27</v>
      </c>
    </row>
    <row r="21" spans="1:5">
      <c r="A21" s="96" t="s">
        <v>851</v>
      </c>
    </row>
    <row r="22" spans="1:5">
      <c r="A22" s="151" t="s">
        <v>832</v>
      </c>
      <c r="B22" s="151" t="s">
        <v>833</v>
      </c>
      <c r="C22" s="146" t="s">
        <v>834</v>
      </c>
      <c r="D22" s="146" t="s">
        <v>49</v>
      </c>
    </row>
    <row r="23" spans="1:5">
      <c r="A23" s="158">
        <v>3</v>
      </c>
      <c r="B23" s="152">
        <v>5</v>
      </c>
      <c r="C23" s="147">
        <v>3</v>
      </c>
      <c r="D23" s="147">
        <f>MAX(A23:C23)</f>
        <v>5</v>
      </c>
    </row>
    <row r="24" spans="1:5">
      <c r="A24" s="158">
        <v>19</v>
      </c>
      <c r="B24" s="152" t="s">
        <v>126</v>
      </c>
      <c r="C24" s="147">
        <v>1</v>
      </c>
      <c r="D24" s="147">
        <f t="shared" ref="D24:D26" si="1">MAX(A24:C24)</f>
        <v>19</v>
      </c>
    </row>
    <row r="25" spans="1:5">
      <c r="A25" s="158">
        <v>8</v>
      </c>
      <c r="B25" s="152" t="s">
        <v>837</v>
      </c>
      <c r="C25" s="147" t="s">
        <v>838</v>
      </c>
      <c r="D25" s="147">
        <f t="shared" si="1"/>
        <v>8</v>
      </c>
    </row>
    <row r="26" spans="1:5">
      <c r="A26" s="158">
        <v>-8.5</v>
      </c>
      <c r="B26" s="152">
        <v>3</v>
      </c>
      <c r="C26" s="147">
        <v>0.5</v>
      </c>
      <c r="D26" s="147">
        <f t="shared" si="1"/>
        <v>3</v>
      </c>
    </row>
    <row r="27" spans="1:5" ht="15.75">
      <c r="A27" s="73"/>
      <c r="B27" s="97"/>
      <c r="C27" s="97"/>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852</v>
      </c>
      <c r="B1" s="196"/>
      <c r="C1" s="94"/>
      <c r="D1" s="76"/>
      <c r="E1" s="76"/>
      <c r="F1" s="76"/>
      <c r="G1" s="76"/>
      <c r="H1" s="76"/>
      <c r="I1" s="76"/>
      <c r="J1" s="76"/>
      <c r="K1" s="76"/>
    </row>
    <row r="2" spans="1:11" ht="15.75" thickTop="1"/>
    <row r="3" spans="1:11" ht="18.75">
      <c r="A3" s="74" t="s">
        <v>1</v>
      </c>
    </row>
    <row r="4" spans="1:11" ht="15" customHeight="1">
      <c r="A4" s="200" t="s">
        <v>853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854</v>
      </c>
    </row>
    <row r="9" spans="1:11" ht="15.75">
      <c r="A9" s="73" t="s">
        <v>829</v>
      </c>
    </row>
    <row r="10" spans="1:11">
      <c r="A10" t="s">
        <v>855</v>
      </c>
    </row>
    <row r="12" spans="1:11" ht="15.75">
      <c r="A12" s="73" t="s">
        <v>11</v>
      </c>
    </row>
    <row r="13" spans="1:11">
      <c r="A13" s="96" t="s">
        <v>856</v>
      </c>
    </row>
    <row r="14" spans="1:11">
      <c r="A14" s="151" t="s">
        <v>832</v>
      </c>
      <c r="B14" s="151" t="s">
        <v>833</v>
      </c>
      <c r="C14" s="146" t="s">
        <v>834</v>
      </c>
      <c r="D14" s="146" t="s">
        <v>49</v>
      </c>
      <c r="E14" s="146" t="s">
        <v>16</v>
      </c>
    </row>
    <row r="15" spans="1:11">
      <c r="A15" s="158">
        <v>3</v>
      </c>
      <c r="B15" s="152"/>
      <c r="C15" s="147">
        <v>5</v>
      </c>
      <c r="D15" s="147">
        <f>AVERAGE(A15:C15)</f>
        <v>4</v>
      </c>
      <c r="E15" s="79" t="s">
        <v>847</v>
      </c>
    </row>
    <row r="16" spans="1:11">
      <c r="A16" s="158">
        <v>19</v>
      </c>
      <c r="B16" s="152" t="s">
        <v>126</v>
      </c>
      <c r="C16" s="147">
        <v>1</v>
      </c>
      <c r="D16" s="147">
        <f t="shared" ref="D16:D18" si="0">AVERAGE(A16:C16)</f>
        <v>10</v>
      </c>
      <c r="E16" s="79" t="s">
        <v>848</v>
      </c>
    </row>
    <row r="17" spans="1:5">
      <c r="A17" s="158">
        <v>8</v>
      </c>
      <c r="B17" s="152" t="s">
        <v>837</v>
      </c>
      <c r="C17" s="147" t="s">
        <v>838</v>
      </c>
      <c r="D17" s="147">
        <f t="shared" si="0"/>
        <v>8</v>
      </c>
      <c r="E17" s="79" t="s">
        <v>849</v>
      </c>
    </row>
    <row r="18" spans="1:5">
      <c r="A18" s="158">
        <v>-8.5</v>
      </c>
      <c r="B18" s="152">
        <v>3</v>
      </c>
      <c r="C18" s="147">
        <v>0.5</v>
      </c>
      <c r="D18" s="147">
        <f t="shared" si="0"/>
        <v>-1.6666666666666667</v>
      </c>
      <c r="E18" s="79" t="s">
        <v>850</v>
      </c>
    </row>
    <row r="19" spans="1:5" ht="15.75">
      <c r="A19" s="73"/>
      <c r="B19" s="97"/>
      <c r="C19" s="97"/>
    </row>
    <row r="20" spans="1:5" ht="15.75">
      <c r="A20" s="73" t="s">
        <v>27</v>
      </c>
    </row>
    <row r="21" spans="1:5">
      <c r="A21" s="96" t="s">
        <v>857</v>
      </c>
    </row>
    <row r="22" spans="1:5">
      <c r="A22" s="151" t="s">
        <v>832</v>
      </c>
      <c r="B22" s="151" t="s">
        <v>833</v>
      </c>
      <c r="C22" s="146" t="s">
        <v>834</v>
      </c>
      <c r="D22" s="146" t="s">
        <v>49</v>
      </c>
    </row>
    <row r="23" spans="1:5">
      <c r="A23" s="158">
        <v>3</v>
      </c>
      <c r="B23" s="152">
        <v>5</v>
      </c>
      <c r="C23" s="147">
        <v>3</v>
      </c>
      <c r="D23" s="147">
        <f>MAX(A23:C23)</f>
        <v>5</v>
      </c>
    </row>
    <row r="24" spans="1:5">
      <c r="A24" s="158">
        <v>19</v>
      </c>
      <c r="B24" s="152" t="s">
        <v>126</v>
      </c>
      <c r="C24" s="147">
        <v>1</v>
      </c>
      <c r="D24" s="147">
        <f t="shared" ref="D24:D26" si="1">MAX(A24:C24)</f>
        <v>19</v>
      </c>
    </row>
    <row r="25" spans="1:5">
      <c r="A25" s="158">
        <v>8</v>
      </c>
      <c r="B25" s="152" t="s">
        <v>837</v>
      </c>
      <c r="C25" s="147" t="s">
        <v>838</v>
      </c>
      <c r="D25" s="147">
        <f t="shared" si="1"/>
        <v>8</v>
      </c>
    </row>
    <row r="26" spans="1:5">
      <c r="A26" s="158">
        <v>1.5</v>
      </c>
      <c r="B26" s="152"/>
      <c r="C26" s="147">
        <v>4.5</v>
      </c>
      <c r="D26" s="147">
        <f t="shared" si="1"/>
        <v>4.5</v>
      </c>
    </row>
    <row r="27" spans="1:5" ht="15.75">
      <c r="A27" s="73"/>
      <c r="B27" s="97"/>
      <c r="C27" s="97"/>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5" zoomScale="90" zoomScaleNormal="90" workbookViewId="0">
      <selection activeCell="E29" sqref="E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858</v>
      </c>
      <c r="B1" s="196"/>
      <c r="C1" s="94"/>
      <c r="D1" s="76"/>
      <c r="E1" s="76"/>
      <c r="F1" s="76"/>
      <c r="G1" s="76"/>
      <c r="H1" s="76"/>
      <c r="I1" s="76"/>
      <c r="J1" s="76"/>
      <c r="K1" s="76"/>
    </row>
    <row r="2" spans="1:11" ht="15.75" thickTop="1"/>
    <row r="3" spans="1:11" ht="18.75">
      <c r="A3" s="74" t="s">
        <v>1</v>
      </c>
    </row>
    <row r="4" spans="1:11" ht="15" customHeight="1">
      <c r="A4" s="200" t="s">
        <v>859</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860</v>
      </c>
    </row>
    <row r="9" spans="1:11" ht="15.75">
      <c r="A9" s="73" t="s">
        <v>861</v>
      </c>
    </row>
    <row r="10" spans="1:11">
      <c r="A10" t="s">
        <v>862</v>
      </c>
    </row>
    <row r="12" spans="1:11" ht="15.75">
      <c r="A12" s="73" t="s">
        <v>863</v>
      </c>
    </row>
    <row r="13" spans="1:11">
      <c r="A13" t="s">
        <v>864</v>
      </c>
    </row>
    <row r="15" spans="1:11" ht="15.75">
      <c r="A15" s="73" t="s">
        <v>11</v>
      </c>
    </row>
    <row r="16" spans="1:11">
      <c r="A16" s="96" t="s">
        <v>865</v>
      </c>
    </row>
    <row r="17" spans="1:7" s="133" customFormat="1" ht="30">
      <c r="A17" s="182" t="s">
        <v>866</v>
      </c>
      <c r="B17" s="183"/>
      <c r="C17" s="184"/>
      <c r="D17" s="166" t="s">
        <v>863</v>
      </c>
      <c r="E17" s="166" t="s">
        <v>49</v>
      </c>
      <c r="F17" s="230" t="s">
        <v>16</v>
      </c>
      <c r="G17" s="230"/>
    </row>
    <row r="18" spans="1:7">
      <c r="A18" s="158">
        <v>3</v>
      </c>
      <c r="B18" s="152">
        <v>1</v>
      </c>
      <c r="C18" s="147">
        <v>5</v>
      </c>
      <c r="D18" s="147">
        <v>1</v>
      </c>
      <c r="E18" s="147">
        <f>SMALL(A18:C21,D18)</f>
        <v>-8.5</v>
      </c>
      <c r="F18" s="194" t="s">
        <v>867</v>
      </c>
      <c r="G18" s="194"/>
    </row>
    <row r="19" spans="1:7">
      <c r="A19" s="158">
        <v>19</v>
      </c>
      <c r="B19" s="152">
        <v>50</v>
      </c>
      <c r="C19" s="147">
        <v>1</v>
      </c>
      <c r="D19" s="147">
        <v>5</v>
      </c>
      <c r="E19" s="147">
        <f>SMALL(A18:C21,D19)</f>
        <v>3</v>
      </c>
      <c r="F19" s="194" t="s">
        <v>868</v>
      </c>
      <c r="G19" s="194"/>
    </row>
    <row r="20" spans="1:7">
      <c r="A20" s="158">
        <v>8</v>
      </c>
      <c r="B20" s="152">
        <v>12</v>
      </c>
      <c r="C20" s="147">
        <v>20</v>
      </c>
      <c r="D20" s="147">
        <v>4</v>
      </c>
      <c r="E20" s="147">
        <f>SMALL(A18:C21,D20)</f>
        <v>1</v>
      </c>
      <c r="F20" s="194" t="s">
        <v>869</v>
      </c>
      <c r="G20" s="194"/>
    </row>
    <row r="21" spans="1:7">
      <c r="A21" s="158">
        <v>-8.5</v>
      </c>
      <c r="B21" s="152">
        <v>3</v>
      </c>
      <c r="C21" s="147">
        <v>0.5</v>
      </c>
      <c r="D21" s="147">
        <v>12</v>
      </c>
      <c r="E21" s="147">
        <f>SMALL(A18:C21,D21)</f>
        <v>50</v>
      </c>
      <c r="F21" s="194" t="s">
        <v>870</v>
      </c>
      <c r="G21" s="194"/>
    </row>
    <row r="22" spans="1:7" ht="15.75">
      <c r="A22" s="73"/>
      <c r="B22" s="97"/>
      <c r="C22" s="97"/>
    </row>
    <row r="23" spans="1:7" ht="15.75">
      <c r="A23" s="73" t="s">
        <v>27</v>
      </c>
    </row>
    <row r="24" spans="1:7">
      <c r="A24" s="96" t="s">
        <v>871</v>
      </c>
    </row>
    <row r="25" spans="1:7" ht="30">
      <c r="A25" s="182" t="s">
        <v>866</v>
      </c>
      <c r="B25" s="183"/>
      <c r="C25" s="184"/>
      <c r="D25" s="166" t="s">
        <v>863</v>
      </c>
      <c r="E25" s="166" t="s">
        <v>49</v>
      </c>
    </row>
    <row r="26" spans="1:7">
      <c r="A26" s="158">
        <v>3</v>
      </c>
      <c r="B26" s="152">
        <v>5</v>
      </c>
      <c r="C26" s="147">
        <v>3</v>
      </c>
      <c r="D26" s="147">
        <v>1</v>
      </c>
      <c r="E26" s="147">
        <f>SMALL(A26:C26,D26)</f>
        <v>3</v>
      </c>
    </row>
    <row r="27" spans="1:7">
      <c r="A27" s="158">
        <v>19</v>
      </c>
      <c r="B27" s="152">
        <v>2</v>
      </c>
      <c r="C27" s="147">
        <v>1</v>
      </c>
      <c r="D27" s="147">
        <v>2</v>
      </c>
      <c r="E27" s="147">
        <f t="shared" ref="E27:E29" si="0">SMALL(A27:C27,D27)</f>
        <v>2</v>
      </c>
    </row>
    <row r="28" spans="1:7">
      <c r="A28" s="158">
        <v>8</v>
      </c>
      <c r="B28" s="152">
        <v>5</v>
      </c>
      <c r="C28" s="147">
        <v>3</v>
      </c>
      <c r="D28" s="147">
        <v>3</v>
      </c>
      <c r="E28" s="147">
        <f t="shared" si="0"/>
        <v>8</v>
      </c>
    </row>
    <row r="29" spans="1:7">
      <c r="A29" s="158">
        <v>1.5</v>
      </c>
      <c r="B29" s="152">
        <v>1</v>
      </c>
      <c r="C29" s="147">
        <v>4.5</v>
      </c>
      <c r="D29" s="147">
        <v>4</v>
      </c>
      <c r="E29" s="265" t="e">
        <f>SMALL(A29:C29,D29)</f>
        <v>#NUM!</v>
      </c>
    </row>
    <row r="30" spans="1:7" ht="15.75">
      <c r="A30" s="73"/>
      <c r="B30" s="97"/>
      <c r="C30" s="97"/>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4" zoomScale="90" zoomScaleNormal="90" workbookViewId="0">
      <selection activeCell="E26" sqref="E26:E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872</v>
      </c>
      <c r="B1" s="196"/>
      <c r="C1" s="94"/>
      <c r="D1" s="76"/>
      <c r="E1" s="76"/>
      <c r="F1" s="76"/>
      <c r="G1" s="76"/>
      <c r="H1" s="76"/>
      <c r="I1" s="76"/>
      <c r="J1" s="76"/>
      <c r="K1" s="76"/>
    </row>
    <row r="2" spans="1:11" ht="15.75" thickTop="1"/>
    <row r="3" spans="1:11" ht="18.75">
      <c r="A3" s="74" t="s">
        <v>1</v>
      </c>
    </row>
    <row r="4" spans="1:11" ht="15" customHeight="1">
      <c r="A4" s="200" t="s">
        <v>873</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874</v>
      </c>
    </row>
    <row r="9" spans="1:11" ht="15.75">
      <c r="A9" s="73" t="s">
        <v>861</v>
      </c>
    </row>
    <row r="10" spans="1:11">
      <c r="A10" t="s">
        <v>875</v>
      </c>
    </row>
    <row r="12" spans="1:11" ht="15.75">
      <c r="A12" s="73" t="s">
        <v>876</v>
      </c>
    </row>
    <row r="13" spans="1:11">
      <c r="A13" t="s">
        <v>877</v>
      </c>
    </row>
    <row r="15" spans="1:11" ht="15.75">
      <c r="A15" s="73" t="s">
        <v>11</v>
      </c>
    </row>
    <row r="16" spans="1:11">
      <c r="A16" s="96" t="s">
        <v>865</v>
      </c>
    </row>
    <row r="17" spans="1:7" s="133" customFormat="1" ht="30">
      <c r="A17" s="182" t="s">
        <v>866</v>
      </c>
      <c r="B17" s="183"/>
      <c r="C17" s="184"/>
      <c r="D17" s="166" t="s">
        <v>876</v>
      </c>
      <c r="E17" s="166" t="s">
        <v>49</v>
      </c>
      <c r="F17" s="230" t="s">
        <v>16</v>
      </c>
      <c r="G17" s="230"/>
    </row>
    <row r="18" spans="1:7">
      <c r="A18" s="158">
        <v>3</v>
      </c>
      <c r="B18" s="152">
        <v>1</v>
      </c>
      <c r="C18" s="147">
        <v>5</v>
      </c>
      <c r="D18" s="147">
        <v>1</v>
      </c>
      <c r="E18" s="147">
        <f>LARGE(A18:C21,D18)</f>
        <v>50</v>
      </c>
      <c r="F18" s="194" t="s">
        <v>878</v>
      </c>
      <c r="G18" s="194"/>
    </row>
    <row r="19" spans="1:7">
      <c r="A19" s="158">
        <v>19</v>
      </c>
      <c r="B19" s="152">
        <v>50</v>
      </c>
      <c r="C19" s="147">
        <v>1</v>
      </c>
      <c r="D19" s="147">
        <v>5</v>
      </c>
      <c r="E19" s="147">
        <f>LARGE(A18:C21,D19)</f>
        <v>8</v>
      </c>
      <c r="F19" s="194" t="s">
        <v>879</v>
      </c>
      <c r="G19" s="194"/>
    </row>
    <row r="20" spans="1:7">
      <c r="A20" s="158">
        <v>8</v>
      </c>
      <c r="B20" s="152">
        <v>12</v>
      </c>
      <c r="C20" s="147">
        <v>20</v>
      </c>
      <c r="D20" s="147">
        <v>4</v>
      </c>
      <c r="E20" s="147">
        <f>LARGE(A18:C21,D20)</f>
        <v>12</v>
      </c>
      <c r="F20" s="194" t="s">
        <v>880</v>
      </c>
      <c r="G20" s="194"/>
    </row>
    <row r="21" spans="1:7">
      <c r="A21" s="158">
        <v>-8.5</v>
      </c>
      <c r="B21" s="152">
        <v>3</v>
      </c>
      <c r="C21" s="147">
        <v>0.5</v>
      </c>
      <c r="D21" s="147">
        <v>12</v>
      </c>
      <c r="E21" s="147">
        <f>LARGE(A18:C21,D21)</f>
        <v>-8.5</v>
      </c>
      <c r="F21" s="194" t="s">
        <v>881</v>
      </c>
      <c r="G21" s="194"/>
    </row>
    <row r="22" spans="1:7" ht="15.75">
      <c r="A22" s="73"/>
      <c r="B22" s="97"/>
      <c r="C22" s="97"/>
    </row>
    <row r="23" spans="1:7" ht="15.75">
      <c r="A23" s="73" t="s">
        <v>27</v>
      </c>
    </row>
    <row r="24" spans="1:7">
      <c r="A24" s="96" t="s">
        <v>882</v>
      </c>
    </row>
    <row r="25" spans="1:7" ht="30">
      <c r="A25" s="182" t="s">
        <v>866</v>
      </c>
      <c r="B25" s="183"/>
      <c r="C25" s="184"/>
      <c r="D25" s="166" t="s">
        <v>876</v>
      </c>
      <c r="E25" s="166" t="s">
        <v>49</v>
      </c>
    </row>
    <row r="26" spans="1:7">
      <c r="A26" s="158">
        <v>3</v>
      </c>
      <c r="B26" s="152">
        <v>5</v>
      </c>
      <c r="C26" s="147">
        <v>3</v>
      </c>
      <c r="D26" s="147">
        <v>1</v>
      </c>
      <c r="E26" s="147">
        <f>LARGE(A26:C26,D26)</f>
        <v>5</v>
      </c>
    </row>
    <row r="27" spans="1:7">
      <c r="A27" s="158">
        <v>19</v>
      </c>
      <c r="B27" s="152">
        <v>2</v>
      </c>
      <c r="C27" s="147">
        <v>1</v>
      </c>
      <c r="D27" s="147">
        <v>2</v>
      </c>
      <c r="E27" s="147">
        <f t="shared" ref="E27:E29" si="0">LARGE(A27:C27,D27)</f>
        <v>2</v>
      </c>
    </row>
    <row r="28" spans="1:7">
      <c r="A28" s="158">
        <v>8</v>
      </c>
      <c r="B28" s="152">
        <v>5</v>
      </c>
      <c r="C28" s="147">
        <v>3</v>
      </c>
      <c r="D28" s="147">
        <v>3</v>
      </c>
      <c r="E28" s="147">
        <f t="shared" si="0"/>
        <v>3</v>
      </c>
    </row>
    <row r="29" spans="1:7">
      <c r="A29" s="158">
        <v>1.5</v>
      </c>
      <c r="B29" s="152">
        <v>1</v>
      </c>
      <c r="C29" s="147">
        <v>4.5</v>
      </c>
      <c r="D29" s="147">
        <v>4</v>
      </c>
      <c r="E29" s="147" t="e">
        <f t="shared" si="0"/>
        <v>#NUM!</v>
      </c>
    </row>
    <row r="30" spans="1:7" ht="15.75">
      <c r="A30" s="73"/>
      <c r="B30" s="97"/>
      <c r="C30" s="97"/>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zoomScale="90" zoomScaleNormal="90" workbookViewId="0">
      <selection activeCell="D26" sqref="D26:D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96" t="s">
        <v>883</v>
      </c>
      <c r="B1" s="196"/>
      <c r="C1" s="94"/>
      <c r="D1" s="76"/>
      <c r="E1" s="76"/>
      <c r="F1" s="76"/>
      <c r="G1" s="76"/>
      <c r="H1" s="76"/>
      <c r="I1" s="76"/>
      <c r="J1" s="76"/>
      <c r="K1" s="76"/>
    </row>
    <row r="2" spans="1:11" ht="15.75" thickTop="1"/>
    <row r="3" spans="1:11" ht="18.75">
      <c r="A3" s="74" t="s">
        <v>1</v>
      </c>
    </row>
    <row r="4" spans="1:11" ht="15" customHeight="1">
      <c r="A4" s="200" t="s">
        <v>884</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885</v>
      </c>
    </row>
    <row r="9" spans="1:11" ht="15.75">
      <c r="A9" s="73" t="s">
        <v>886</v>
      </c>
    </row>
    <row r="10" spans="1:11">
      <c r="A10" t="s">
        <v>887</v>
      </c>
    </row>
    <row r="12" spans="1:11" ht="15.75">
      <c r="A12" s="73" t="s">
        <v>888</v>
      </c>
    </row>
    <row r="13" spans="1:11">
      <c r="A13" t="s">
        <v>889</v>
      </c>
    </row>
    <row r="15" spans="1:11" ht="15.75">
      <c r="A15" s="73" t="s">
        <v>11</v>
      </c>
    </row>
    <row r="16" spans="1:11">
      <c r="A16" s="96" t="s">
        <v>890</v>
      </c>
    </row>
    <row r="17" spans="1:6" s="133" customFormat="1" ht="15" customHeight="1">
      <c r="A17" s="182" t="s">
        <v>891</v>
      </c>
      <c r="B17" s="183"/>
      <c r="C17" s="184"/>
      <c r="D17" s="166" t="s">
        <v>49</v>
      </c>
      <c r="E17" s="230" t="s">
        <v>16</v>
      </c>
      <c r="F17" s="230"/>
    </row>
    <row r="18" spans="1:6">
      <c r="A18" s="158">
        <v>3</v>
      </c>
      <c r="B18" s="152">
        <v>1</v>
      </c>
      <c r="C18" s="147">
        <v>5</v>
      </c>
      <c r="D18" s="147">
        <f>COUNT(A18:C18)</f>
        <v>3</v>
      </c>
      <c r="E18" s="194" t="s">
        <v>892</v>
      </c>
      <c r="F18" s="194"/>
    </row>
    <row r="19" spans="1:6">
      <c r="A19" s="158">
        <v>19</v>
      </c>
      <c r="B19" s="152" t="s">
        <v>81</v>
      </c>
      <c r="C19" s="147">
        <v>1</v>
      </c>
      <c r="D19" s="147">
        <f t="shared" ref="D19:D21" si="0">COUNT(A19:C19)</f>
        <v>2</v>
      </c>
      <c r="E19" s="194" t="s">
        <v>893</v>
      </c>
      <c r="F19" s="194"/>
    </row>
    <row r="20" spans="1:6">
      <c r="A20" s="158">
        <v>8</v>
      </c>
      <c r="B20" s="152" t="s">
        <v>894</v>
      </c>
      <c r="C20" s="147">
        <v>20</v>
      </c>
      <c r="D20" s="147">
        <f t="shared" si="0"/>
        <v>2</v>
      </c>
      <c r="E20" s="194" t="s">
        <v>895</v>
      </c>
      <c r="F20" s="194"/>
    </row>
    <row r="21" spans="1:6">
      <c r="A21" s="158">
        <v>-8.5</v>
      </c>
      <c r="B21" s="152" t="s">
        <v>894</v>
      </c>
      <c r="C21" s="147" t="s">
        <v>84</v>
      </c>
      <c r="D21" s="147">
        <f t="shared" si="0"/>
        <v>1</v>
      </c>
      <c r="E21" s="194" t="s">
        <v>896</v>
      </c>
      <c r="F21" s="194"/>
    </row>
    <row r="22" spans="1:6" ht="15.75">
      <c r="A22" s="73"/>
      <c r="B22" s="97"/>
      <c r="C22" s="97"/>
    </row>
    <row r="23" spans="1:6" ht="15.75">
      <c r="A23" s="73" t="s">
        <v>308</v>
      </c>
    </row>
    <row r="24" spans="1:6">
      <c r="A24" s="96" t="s">
        <v>890</v>
      </c>
    </row>
    <row r="25" spans="1:6">
      <c r="A25" s="182" t="s">
        <v>891</v>
      </c>
      <c r="B25" s="183"/>
      <c r="C25" s="184"/>
      <c r="D25" s="166" t="s">
        <v>49</v>
      </c>
    </row>
    <row r="26" spans="1:6">
      <c r="A26" s="158">
        <v>3</v>
      </c>
      <c r="B26" s="152"/>
      <c r="C26" s="147">
        <v>3</v>
      </c>
      <c r="D26" s="147">
        <f>COUNT(A26:C26)</f>
        <v>2</v>
      </c>
    </row>
    <row r="27" spans="1:6">
      <c r="A27" s="158" t="s">
        <v>837</v>
      </c>
      <c r="B27" s="152">
        <v>2</v>
      </c>
      <c r="C27" s="147">
        <v>1</v>
      </c>
      <c r="D27" s="147">
        <f t="shared" ref="D27:D29" si="1">COUNT(A27:C27)</f>
        <v>2</v>
      </c>
    </row>
    <row r="28" spans="1:6">
      <c r="A28" s="158" t="s">
        <v>838</v>
      </c>
      <c r="B28" s="152">
        <v>5</v>
      </c>
      <c r="C28" s="147">
        <v>3</v>
      </c>
      <c r="D28" s="147">
        <f t="shared" si="1"/>
        <v>2</v>
      </c>
    </row>
    <row r="29" spans="1:6">
      <c r="A29" s="158">
        <v>1.5</v>
      </c>
      <c r="B29" s="152">
        <v>1</v>
      </c>
      <c r="C29" s="147">
        <v>4.5</v>
      </c>
      <c r="D29" s="147">
        <f t="shared" si="1"/>
        <v>3</v>
      </c>
    </row>
    <row r="30" spans="1:6" ht="15.75">
      <c r="A30" s="73"/>
      <c r="B30" s="97"/>
      <c r="C30" s="97"/>
    </row>
    <row r="31" spans="1:6" ht="15.75">
      <c r="A31" s="73" t="s">
        <v>311</v>
      </c>
    </row>
    <row r="32" spans="1:6">
      <c r="A32" s="134" t="s">
        <v>897</v>
      </c>
    </row>
    <row r="33" spans="1:4">
      <c r="A33" s="182" t="s">
        <v>891</v>
      </c>
      <c r="B33" s="183"/>
      <c r="C33" s="184"/>
      <c r="D33" s="166" t="s">
        <v>49</v>
      </c>
    </row>
    <row r="34" spans="1:4">
      <c r="A34" s="158">
        <v>3</v>
      </c>
      <c r="B34" s="152"/>
      <c r="C34" s="147">
        <v>3</v>
      </c>
      <c r="D34" s="147"/>
    </row>
    <row r="35" spans="1:4">
      <c r="A35" s="158" t="s">
        <v>837</v>
      </c>
      <c r="B35" s="152">
        <v>2</v>
      </c>
      <c r="C35" s="147">
        <v>1</v>
      </c>
      <c r="D35" s="147"/>
    </row>
    <row r="36" spans="1:4">
      <c r="A36" s="158" t="s">
        <v>838</v>
      </c>
      <c r="B36" s="152">
        <v>5</v>
      </c>
      <c r="C36" s="147">
        <v>3</v>
      </c>
      <c r="D36" s="147"/>
    </row>
    <row r="37" spans="1:4">
      <c r="A37" s="158">
        <v>1.5</v>
      </c>
      <c r="B37" s="152"/>
      <c r="C37" s="147" t="s">
        <v>898</v>
      </c>
      <c r="D37" s="147"/>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96" t="s">
        <v>899</v>
      </c>
      <c r="B1" s="196"/>
      <c r="C1" s="94"/>
      <c r="D1" s="76"/>
      <c r="E1" s="76"/>
      <c r="F1" s="76"/>
      <c r="G1" s="76"/>
      <c r="H1" s="76"/>
      <c r="I1" s="76"/>
      <c r="J1" s="76"/>
      <c r="K1" s="76"/>
    </row>
    <row r="2" spans="1:11" ht="15.75" thickTop="1"/>
    <row r="3" spans="1:11" ht="18.75">
      <c r="A3" s="74" t="s">
        <v>1</v>
      </c>
    </row>
    <row r="4" spans="1:11" ht="15" customHeight="1">
      <c r="A4" s="200" t="s">
        <v>900</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901</v>
      </c>
    </row>
    <row r="9" spans="1:11" ht="15.75">
      <c r="A9" s="73" t="s">
        <v>636</v>
      </c>
    </row>
    <row r="10" spans="1:11">
      <c r="A10" t="s">
        <v>902</v>
      </c>
    </row>
    <row r="12" spans="1:11" ht="15.75">
      <c r="A12" s="73" t="s">
        <v>717</v>
      </c>
    </row>
    <row r="13" spans="1:11">
      <c r="A13" t="s">
        <v>903</v>
      </c>
    </row>
    <row r="15" spans="1:11" ht="15.75">
      <c r="A15" s="73" t="s">
        <v>11</v>
      </c>
    </row>
    <row r="16" spans="1:11">
      <c r="A16" s="96" t="s">
        <v>904</v>
      </c>
    </row>
    <row r="17" spans="1:8" s="133" customFormat="1" ht="15" customHeight="1">
      <c r="A17" s="150" t="s">
        <v>113</v>
      </c>
      <c r="B17" s="150" t="s">
        <v>114</v>
      </c>
      <c r="C17" s="150" t="s">
        <v>671</v>
      </c>
      <c r="D17" s="166" t="s">
        <v>692</v>
      </c>
      <c r="E17" s="135" t="s">
        <v>693</v>
      </c>
      <c r="F17" s="135" t="s">
        <v>49</v>
      </c>
      <c r="G17" s="230" t="s">
        <v>16</v>
      </c>
      <c r="H17" s="230"/>
    </row>
    <row r="18" spans="1:8" ht="15" customHeight="1">
      <c r="A18" s="158">
        <v>3</v>
      </c>
      <c r="B18" s="152">
        <v>1</v>
      </c>
      <c r="C18" s="147">
        <v>5</v>
      </c>
      <c r="D18" s="147">
        <v>3</v>
      </c>
      <c r="E18" s="148" t="s">
        <v>905</v>
      </c>
      <c r="F18" s="148">
        <f>COUNTIF(A18:D18,"&gt;1")</f>
        <v>3</v>
      </c>
      <c r="G18" s="194" t="s">
        <v>906</v>
      </c>
      <c r="H18" s="194"/>
    </row>
    <row r="19" spans="1:8" ht="15" customHeight="1">
      <c r="A19" s="158">
        <v>19</v>
      </c>
      <c r="B19" s="152" t="s">
        <v>81</v>
      </c>
      <c r="C19" s="147"/>
      <c r="D19" s="147">
        <v>0</v>
      </c>
      <c r="E19" s="148" t="s">
        <v>907</v>
      </c>
      <c r="F19" s="148">
        <f>COUNTIF(A19:D19,"=0")</f>
        <v>1</v>
      </c>
      <c r="G19" s="194" t="s">
        <v>908</v>
      </c>
      <c r="H19" s="194"/>
    </row>
    <row r="20" spans="1:8" ht="15" customHeight="1">
      <c r="A20" s="158">
        <v>8</v>
      </c>
      <c r="B20" s="152" t="s">
        <v>898</v>
      </c>
      <c r="C20" s="147">
        <v>20</v>
      </c>
      <c r="D20" s="147">
        <v>2</v>
      </c>
      <c r="E20" s="148" t="s">
        <v>909</v>
      </c>
      <c r="F20" s="148">
        <f>COUNTIF(A20:D20,"&gt;=2")</f>
        <v>3</v>
      </c>
      <c r="G20" s="194" t="s">
        <v>910</v>
      </c>
      <c r="H20" s="194"/>
    </row>
    <row r="21" spans="1:8" ht="15" customHeight="1">
      <c r="A21" s="158">
        <v>-8.5</v>
      </c>
      <c r="B21" s="152">
        <v>0</v>
      </c>
      <c r="C21" s="147" t="s">
        <v>84</v>
      </c>
      <c r="D21" s="147">
        <v>-1</v>
      </c>
      <c r="E21" s="148" t="s">
        <v>911</v>
      </c>
      <c r="F21" s="148">
        <f>COUNTIF(A21:D21,"&lt;0")</f>
        <v>2</v>
      </c>
      <c r="G21" s="194" t="s">
        <v>912</v>
      </c>
      <c r="H21" s="194"/>
    </row>
    <row r="22" spans="1:8" ht="15.75">
      <c r="A22" s="73"/>
      <c r="B22" s="97"/>
      <c r="C22" s="97"/>
    </row>
    <row r="23" spans="1:8" ht="15.75">
      <c r="A23" s="73" t="s">
        <v>27</v>
      </c>
    </row>
    <row r="24" spans="1:8">
      <c r="A24" s="96" t="s">
        <v>904</v>
      </c>
    </row>
    <row r="25" spans="1:8" ht="15" customHeight="1">
      <c r="A25" s="150" t="s">
        <v>113</v>
      </c>
      <c r="B25" s="150" t="s">
        <v>114</v>
      </c>
      <c r="C25" s="150" t="s">
        <v>671</v>
      </c>
      <c r="D25" s="166" t="s">
        <v>692</v>
      </c>
      <c r="E25" s="135" t="s">
        <v>693</v>
      </c>
      <c r="F25" s="166" t="s">
        <v>49</v>
      </c>
    </row>
    <row r="26" spans="1:8">
      <c r="A26" s="158">
        <v>1</v>
      </c>
      <c r="B26" s="152">
        <v>-1</v>
      </c>
      <c r="C26" s="147">
        <v>5</v>
      </c>
      <c r="D26" s="147">
        <v>3</v>
      </c>
      <c r="E26" s="148" t="s">
        <v>913</v>
      </c>
      <c r="F26" s="152"/>
    </row>
    <row r="27" spans="1:8">
      <c r="A27" s="158">
        <v>19</v>
      </c>
      <c r="B27" s="152" t="s">
        <v>81</v>
      </c>
      <c r="C27" s="147"/>
      <c r="D27" s="147">
        <v>0</v>
      </c>
      <c r="E27" s="148" t="s">
        <v>914</v>
      </c>
      <c r="F27" s="152"/>
    </row>
    <row r="28" spans="1:8">
      <c r="A28" s="158">
        <v>8</v>
      </c>
      <c r="B28" s="152">
        <v>-50</v>
      </c>
      <c r="C28" s="147">
        <v>20</v>
      </c>
      <c r="D28" s="147">
        <v>2</v>
      </c>
      <c r="E28" s="148" t="s">
        <v>915</v>
      </c>
      <c r="F28" s="152"/>
    </row>
    <row r="29" spans="1:8">
      <c r="A29" s="158">
        <v>-8.5</v>
      </c>
      <c r="B29" s="152">
        <v>0</v>
      </c>
      <c r="C29" s="147"/>
      <c r="D29" s="147">
        <v>-1</v>
      </c>
      <c r="E29" s="148" t="s">
        <v>916</v>
      </c>
      <c r="F29" s="152"/>
    </row>
    <row r="30" spans="1:8" ht="15.75">
      <c r="A30" s="73"/>
      <c r="B30" s="97"/>
      <c r="C30" s="97"/>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abSelected="1" zoomScale="90" zoomScaleNormal="90" workbookViewId="0">
      <selection activeCell="E24" sqref="E24:E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96" t="s">
        <v>917</v>
      </c>
      <c r="B1" s="196"/>
      <c r="C1" s="94"/>
      <c r="D1" s="76"/>
      <c r="E1" s="76"/>
      <c r="F1" s="76"/>
      <c r="G1" s="76"/>
      <c r="H1" s="76"/>
      <c r="I1" s="76"/>
      <c r="J1" s="76"/>
      <c r="K1" s="76"/>
    </row>
    <row r="2" spans="1:11" ht="15.75" thickTop="1"/>
    <row r="3" spans="1:11" ht="18.75">
      <c r="A3" s="74" t="s">
        <v>1</v>
      </c>
    </row>
    <row r="4" spans="1:11" ht="15" customHeight="1">
      <c r="A4" s="200" t="s">
        <v>918</v>
      </c>
      <c r="B4" s="200"/>
      <c r="C4" s="200"/>
      <c r="D4" s="200"/>
      <c r="E4" s="200"/>
      <c r="F4" s="200"/>
      <c r="G4" s="200"/>
      <c r="H4" s="200"/>
      <c r="I4" s="200"/>
    </row>
    <row r="5" spans="1:11">
      <c r="A5" s="200"/>
      <c r="B5" s="200"/>
      <c r="C5" s="200"/>
      <c r="D5" s="200"/>
      <c r="E5" s="200"/>
      <c r="F5" s="200"/>
      <c r="G5" s="200"/>
      <c r="H5" s="200"/>
      <c r="I5" s="200"/>
    </row>
    <row r="6" spans="1:11">
      <c r="A6" s="156"/>
      <c r="B6" s="156"/>
      <c r="C6" s="156"/>
      <c r="D6" s="156"/>
      <c r="E6" s="156"/>
      <c r="F6" s="156"/>
      <c r="G6" s="156"/>
      <c r="H6" s="156"/>
      <c r="I6" s="156"/>
    </row>
    <row r="7" spans="1:11" ht="18.75">
      <c r="A7" s="74" t="s">
        <v>3</v>
      </c>
    </row>
    <row r="8" spans="1:11" ht="15.75">
      <c r="A8" s="77" t="s">
        <v>919</v>
      </c>
    </row>
    <row r="10" spans="1:11" ht="15.75">
      <c r="A10" s="73" t="s">
        <v>920</v>
      </c>
    </row>
    <row r="11" spans="1:11">
      <c r="A11" t="s">
        <v>921</v>
      </c>
    </row>
    <row r="13" spans="1:11" ht="15.75">
      <c r="A13" s="73" t="s">
        <v>11</v>
      </c>
    </row>
    <row r="14" spans="1:11">
      <c r="A14" s="96" t="s">
        <v>922</v>
      </c>
    </row>
    <row r="15" spans="1:11" s="133" customFormat="1" ht="15" customHeight="1">
      <c r="A15" s="182" t="s">
        <v>923</v>
      </c>
      <c r="B15" s="183"/>
      <c r="C15" s="183"/>
      <c r="D15" s="184"/>
      <c r="E15" s="135" t="s">
        <v>924</v>
      </c>
      <c r="F15" s="230" t="s">
        <v>16</v>
      </c>
      <c r="G15" s="230"/>
    </row>
    <row r="16" spans="1:11" ht="15" customHeight="1">
      <c r="A16" s="158">
        <v>42</v>
      </c>
      <c r="B16" s="152">
        <v>45</v>
      </c>
      <c r="C16" s="147">
        <v>20</v>
      </c>
      <c r="D16" s="147">
        <v>22</v>
      </c>
      <c r="E16" s="148">
        <f>_xlfn.STDEV.S(A16:D16)</f>
        <v>13.073510112692254</v>
      </c>
      <c r="F16" s="194" t="s">
        <v>925</v>
      </c>
      <c r="G16" s="194"/>
    </row>
    <row r="17" spans="1:7" ht="15" customHeight="1">
      <c r="A17" s="158">
        <v>27</v>
      </c>
      <c r="B17" s="152">
        <v>10</v>
      </c>
      <c r="C17" s="147">
        <v>34</v>
      </c>
      <c r="D17" s="147">
        <v>50</v>
      </c>
      <c r="E17" s="148">
        <f t="shared" ref="E17:E19" si="0">_xlfn.STDEV.S(A17:D17)</f>
        <v>16.580611166861935</v>
      </c>
      <c r="F17" s="194" t="s">
        <v>926</v>
      </c>
      <c r="G17" s="194"/>
    </row>
    <row r="18" spans="1:7" ht="15" customHeight="1">
      <c r="A18" s="158">
        <v>26</v>
      </c>
      <c r="B18" s="152">
        <v>32</v>
      </c>
      <c r="C18" s="147">
        <v>11</v>
      </c>
      <c r="D18" s="147">
        <v>26</v>
      </c>
      <c r="E18" s="148">
        <f t="shared" si="0"/>
        <v>8.9582364335844584</v>
      </c>
      <c r="F18" s="194" t="s">
        <v>927</v>
      </c>
      <c r="G18" s="194"/>
    </row>
    <row r="19" spans="1:7" ht="15" customHeight="1">
      <c r="A19" s="158">
        <v>42</v>
      </c>
      <c r="B19" s="152">
        <v>40</v>
      </c>
      <c r="C19" s="147">
        <v>47</v>
      </c>
      <c r="D19" s="147">
        <v>47</v>
      </c>
      <c r="E19" s="148">
        <f t="shared" si="0"/>
        <v>3.5590260840104371</v>
      </c>
      <c r="F19" s="194" t="s">
        <v>928</v>
      </c>
      <c r="G19" s="194"/>
    </row>
    <row r="20" spans="1:7" ht="15.75">
      <c r="A20" s="73"/>
      <c r="B20" s="97"/>
      <c r="C20" s="97"/>
    </row>
    <row r="21" spans="1:7" ht="15.75">
      <c r="A21" s="73" t="s">
        <v>27</v>
      </c>
    </row>
    <row r="22" spans="1:7">
      <c r="A22" s="96" t="s">
        <v>922</v>
      </c>
    </row>
    <row r="23" spans="1:7" ht="15" customHeight="1">
      <c r="A23" s="182" t="s">
        <v>923</v>
      </c>
      <c r="B23" s="183"/>
      <c r="C23" s="183"/>
      <c r="D23" s="184"/>
      <c r="E23" s="166" t="s">
        <v>49</v>
      </c>
    </row>
    <row r="24" spans="1:7">
      <c r="A24" s="158">
        <v>7</v>
      </c>
      <c r="B24" s="158">
        <v>7</v>
      </c>
      <c r="C24" s="158">
        <v>2</v>
      </c>
      <c r="D24" s="158">
        <v>3</v>
      </c>
      <c r="E24" s="152">
        <f>_xlfn.STDEV.S(A24:D24)</f>
        <v>2.6299556396765835</v>
      </c>
    </row>
    <row r="25" spans="1:7">
      <c r="A25" s="158">
        <v>1</v>
      </c>
      <c r="B25" s="158">
        <v>2</v>
      </c>
      <c r="C25" s="158">
        <v>1</v>
      </c>
      <c r="D25" s="158">
        <v>6</v>
      </c>
      <c r="E25" s="152">
        <f t="shared" ref="E25:E27" si="1">_xlfn.STDEV.S(A25:D25)</f>
        <v>2.3804761428476167</v>
      </c>
    </row>
    <row r="26" spans="1:7">
      <c r="A26" s="158">
        <v>5</v>
      </c>
      <c r="B26" s="158">
        <v>8</v>
      </c>
      <c r="C26" s="158">
        <v>8</v>
      </c>
      <c r="D26" s="158">
        <v>6</v>
      </c>
      <c r="E26" s="152">
        <f t="shared" si="1"/>
        <v>1.5</v>
      </c>
    </row>
    <row r="27" spans="1:7">
      <c r="A27" s="158">
        <v>5</v>
      </c>
      <c r="B27" s="158">
        <v>8</v>
      </c>
      <c r="C27" s="158">
        <v>7</v>
      </c>
      <c r="D27" s="158">
        <v>4</v>
      </c>
      <c r="E27" s="152">
        <f t="shared" si="1"/>
        <v>1.8257418583505538</v>
      </c>
    </row>
    <row r="28" spans="1:7" ht="15.75">
      <c r="A28" s="73"/>
      <c r="B28" s="97"/>
      <c r="C28" s="97"/>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3" zoomScale="90" zoomScaleNormal="90" workbookViewId="0">
      <selection activeCell="F38" sqref="F3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96" t="s">
        <v>929</v>
      </c>
      <c r="B1" s="196"/>
      <c r="C1" s="94"/>
      <c r="D1" s="76"/>
      <c r="E1" s="76"/>
      <c r="F1" s="76"/>
      <c r="G1" s="76"/>
      <c r="H1" s="76"/>
      <c r="I1" s="76"/>
      <c r="J1" s="76"/>
      <c r="K1" s="76"/>
    </row>
    <row r="2" spans="1:11" ht="15.75" thickTop="1"/>
    <row r="3" spans="1:11" ht="18.75">
      <c r="A3" s="74" t="s">
        <v>1</v>
      </c>
    </row>
    <row r="4" spans="1:11" ht="15" customHeight="1">
      <c r="A4" s="200" t="s">
        <v>930</v>
      </c>
      <c r="B4" s="200"/>
      <c r="C4" s="200"/>
      <c r="D4" s="200"/>
      <c r="E4" s="200"/>
      <c r="F4" s="200"/>
      <c r="G4" s="200"/>
      <c r="H4" s="200"/>
      <c r="I4" s="200"/>
    </row>
    <row r="5" spans="1:11">
      <c r="A5" s="200"/>
      <c r="B5" s="200"/>
      <c r="C5" s="200"/>
      <c r="D5" s="200"/>
      <c r="E5" s="200"/>
      <c r="F5" s="200"/>
      <c r="G5" s="200"/>
      <c r="H5" s="200"/>
      <c r="I5" s="200"/>
    </row>
    <row r="6" spans="1:11">
      <c r="A6" s="200"/>
      <c r="B6" s="200"/>
      <c r="C6" s="200"/>
      <c r="D6" s="200"/>
      <c r="E6" s="200"/>
      <c r="F6" s="200"/>
      <c r="G6" s="200"/>
      <c r="H6" s="200"/>
      <c r="I6" s="200"/>
    </row>
    <row r="7" spans="1:11">
      <c r="A7" s="156"/>
      <c r="B7" s="156"/>
      <c r="C7" s="156"/>
      <c r="D7" s="156"/>
      <c r="E7" s="156"/>
      <c r="F7" s="156"/>
      <c r="G7" s="156"/>
      <c r="H7" s="156"/>
      <c r="I7" s="156"/>
    </row>
    <row r="8" spans="1:11" ht="18.75">
      <c r="A8" s="74" t="s">
        <v>3</v>
      </c>
    </row>
    <row r="9" spans="1:11" ht="15.75">
      <c r="A9" s="77" t="s">
        <v>931</v>
      </c>
    </row>
    <row r="11" spans="1:11" ht="15.75">
      <c r="A11" s="73" t="s">
        <v>932</v>
      </c>
    </row>
    <row r="12" spans="1:11">
      <c r="A12" t="s">
        <v>933</v>
      </c>
    </row>
    <row r="14" spans="1:11" ht="15.75">
      <c r="A14" s="73" t="s">
        <v>11</v>
      </c>
    </row>
    <row r="15" spans="1:11">
      <c r="A15" s="96" t="s">
        <v>934</v>
      </c>
    </row>
    <row r="16" spans="1:11" s="133" customFormat="1" ht="15" customHeight="1">
      <c r="A16" s="150" t="s">
        <v>935</v>
      </c>
      <c r="B16" s="150" t="s">
        <v>936</v>
      </c>
      <c r="D16" s="150" t="s">
        <v>937</v>
      </c>
      <c r="E16" s="181" t="s">
        <v>16</v>
      </c>
      <c r="F16" s="181"/>
    </row>
    <row r="17" spans="1:6" ht="15" customHeight="1">
      <c r="A17" s="158">
        <v>1</v>
      </c>
      <c r="B17" s="152">
        <v>5</v>
      </c>
      <c r="D17" s="152">
        <f>CORREL(A17:A26,B17:B26)</f>
        <v>0.99302351494545493</v>
      </c>
      <c r="E17" s="194" t="s">
        <v>938</v>
      </c>
      <c r="F17" s="194"/>
    </row>
    <row r="18" spans="1:6" ht="15" customHeight="1">
      <c r="A18" s="158">
        <v>2</v>
      </c>
      <c r="B18" s="152">
        <v>14</v>
      </c>
    </row>
    <row r="19" spans="1:6" ht="15" customHeight="1">
      <c r="A19" s="158">
        <v>3</v>
      </c>
      <c r="B19" s="152">
        <v>15</v>
      </c>
    </row>
    <row r="20" spans="1:6" ht="15" customHeight="1">
      <c r="A20" s="158">
        <v>4</v>
      </c>
      <c r="B20" s="152">
        <v>20</v>
      </c>
    </row>
    <row r="21" spans="1:6">
      <c r="A21" s="152">
        <v>5</v>
      </c>
      <c r="B21" s="152">
        <v>24</v>
      </c>
      <c r="C21" s="97"/>
    </row>
    <row r="22" spans="1:6">
      <c r="A22" s="152">
        <v>6</v>
      </c>
      <c r="B22" s="152">
        <v>30</v>
      </c>
    </row>
    <row r="23" spans="1:6">
      <c r="A23" s="152">
        <v>7</v>
      </c>
      <c r="B23" s="152">
        <v>35</v>
      </c>
    </row>
    <row r="24" spans="1:6">
      <c r="A24" s="152">
        <v>8</v>
      </c>
      <c r="B24" s="152">
        <v>38</v>
      </c>
    </row>
    <row r="25" spans="1:6">
      <c r="A25" s="152">
        <v>9</v>
      </c>
      <c r="B25" s="152">
        <v>40</v>
      </c>
    </row>
    <row r="26" spans="1:6">
      <c r="A26" s="152">
        <v>10</v>
      </c>
      <c r="B26" s="152">
        <v>45</v>
      </c>
    </row>
    <row r="28" spans="1:6" ht="15.75">
      <c r="A28" s="73" t="s">
        <v>27</v>
      </c>
    </row>
    <row r="29" spans="1:6">
      <c r="A29" s="96" t="s">
        <v>939</v>
      </c>
    </row>
    <row r="30" spans="1:6">
      <c r="A30" s="150" t="s">
        <v>935</v>
      </c>
      <c r="B30" s="150" t="s">
        <v>940</v>
      </c>
    </row>
    <row r="31" spans="1:6">
      <c r="A31" s="158">
        <v>1</v>
      </c>
      <c r="B31" s="152">
        <v>20</v>
      </c>
    </row>
    <row r="32" spans="1:6">
      <c r="A32" s="158">
        <v>2</v>
      </c>
      <c r="B32" s="152">
        <v>35</v>
      </c>
    </row>
    <row r="33" spans="1:2">
      <c r="A33" s="158">
        <v>3</v>
      </c>
      <c r="B33" s="152">
        <v>45</v>
      </c>
    </row>
    <row r="34" spans="1:2">
      <c r="A34" s="158">
        <v>4</v>
      </c>
      <c r="B34" s="152">
        <v>60</v>
      </c>
    </row>
    <row r="35" spans="1:2">
      <c r="A35" s="152">
        <v>5</v>
      </c>
      <c r="B35" s="152">
        <v>80</v>
      </c>
    </row>
    <row r="36" spans="1:2">
      <c r="A36" s="152">
        <v>6</v>
      </c>
      <c r="B36" s="152">
        <v>100</v>
      </c>
    </row>
    <row r="37" spans="1:2">
      <c r="A37" s="152">
        <v>7</v>
      </c>
      <c r="B37" s="152">
        <v>120</v>
      </c>
    </row>
    <row r="38" spans="1:2">
      <c r="A38" s="152">
        <v>8</v>
      </c>
      <c r="B38" s="152">
        <v>122</v>
      </c>
    </row>
    <row r="39" spans="1:2">
      <c r="A39" s="152">
        <v>9</v>
      </c>
      <c r="B39" s="152">
        <v>125</v>
      </c>
    </row>
    <row r="40" spans="1:2">
      <c r="A40" s="152">
        <v>10</v>
      </c>
      <c r="B40" s="152">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zoomScale="90" zoomScaleNormal="90" workbookViewId="0">
      <selection activeCell="J15" sqref="J15:K1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96" t="s">
        <v>941</v>
      </c>
      <c r="B1" s="196"/>
      <c r="C1" s="94"/>
      <c r="D1" s="76"/>
      <c r="E1" s="76"/>
      <c r="F1" s="76"/>
      <c r="G1" s="76"/>
      <c r="H1" s="76"/>
      <c r="I1" s="76"/>
      <c r="J1" s="76"/>
      <c r="K1" s="76"/>
    </row>
    <row r="2" spans="1:11" ht="15.75" thickTop="1"/>
    <row r="3" spans="1:11" ht="18.75">
      <c r="A3" s="74" t="s">
        <v>1</v>
      </c>
    </row>
    <row r="4" spans="1:11" ht="15" customHeight="1">
      <c r="A4" s="200" t="s">
        <v>942</v>
      </c>
      <c r="B4" s="200"/>
      <c r="C4" s="200"/>
      <c r="D4" s="200"/>
      <c r="E4" s="200"/>
      <c r="F4" s="200"/>
      <c r="G4" s="200"/>
      <c r="H4" s="200"/>
      <c r="I4" s="200"/>
    </row>
    <row r="5" spans="1:11">
      <c r="A5" s="156"/>
      <c r="B5" s="156"/>
      <c r="C5" s="156"/>
      <c r="D5" s="156"/>
      <c r="E5" s="156"/>
      <c r="F5" s="156"/>
      <c r="G5" s="156"/>
      <c r="H5" s="156"/>
      <c r="I5" s="156"/>
    </row>
    <row r="6" spans="1:11" ht="18.75">
      <c r="A6" s="74" t="s">
        <v>3</v>
      </c>
    </row>
    <row r="7" spans="1:11" ht="15.75">
      <c r="A7" s="77" t="s">
        <v>943</v>
      </c>
    </row>
    <row r="9" spans="1:11" ht="15.75">
      <c r="A9" s="73" t="s">
        <v>944</v>
      </c>
    </row>
    <row r="10" spans="1:11">
      <c r="A10" t="s">
        <v>945</v>
      </c>
    </row>
    <row r="12" spans="1:11" ht="15.75">
      <c r="A12" s="73" t="s">
        <v>11</v>
      </c>
    </row>
    <row r="13" spans="1:11">
      <c r="A13" s="96" t="s">
        <v>946</v>
      </c>
    </row>
    <row r="14" spans="1:11" s="133" customFormat="1" ht="15" customHeight="1">
      <c r="A14" s="150" t="s">
        <v>947</v>
      </c>
      <c r="C14" s="150" t="s">
        <v>948</v>
      </c>
      <c r="D14" s="181" t="s">
        <v>16</v>
      </c>
      <c r="E14" s="181"/>
      <c r="G14" s="150" t="s">
        <v>949</v>
      </c>
      <c r="I14" s="150" t="s">
        <v>948</v>
      </c>
      <c r="J14" s="181" t="s">
        <v>16</v>
      </c>
      <c r="K14" s="181"/>
    </row>
    <row r="15" spans="1:11" ht="15" customHeight="1">
      <c r="A15" s="158">
        <v>89</v>
      </c>
      <c r="C15" s="152">
        <f>MEDIAN(A15:A35)</f>
        <v>84</v>
      </c>
      <c r="D15" s="194" t="s">
        <v>950</v>
      </c>
      <c r="E15" s="194"/>
      <c r="G15" s="158">
        <v>94</v>
      </c>
      <c r="I15" s="152">
        <f>MEDIAN(G15:G34)</f>
        <v>82</v>
      </c>
      <c r="J15" s="194" t="s">
        <v>951</v>
      </c>
      <c r="K15" s="194"/>
    </row>
    <row r="16" spans="1:11" ht="15" customHeight="1">
      <c r="A16" s="158">
        <v>91</v>
      </c>
      <c r="G16" s="158">
        <v>57</v>
      </c>
    </row>
    <row r="17" spans="1:7" ht="15" customHeight="1">
      <c r="A17" s="158">
        <v>65</v>
      </c>
      <c r="C17" s="231" t="s">
        <v>952</v>
      </c>
      <c r="D17" s="232"/>
      <c r="E17" s="233"/>
      <c r="G17" s="158">
        <v>80</v>
      </c>
    </row>
    <row r="18" spans="1:7" ht="15" customHeight="1">
      <c r="A18" s="158">
        <v>59</v>
      </c>
      <c r="C18" s="234"/>
      <c r="D18" s="235"/>
      <c r="E18" s="236"/>
      <c r="G18" s="158">
        <v>91</v>
      </c>
    </row>
    <row r="19" spans="1:7">
      <c r="A19" s="152">
        <v>60</v>
      </c>
      <c r="B19" s="97"/>
      <c r="C19" s="234"/>
      <c r="D19" s="235"/>
      <c r="E19" s="236"/>
      <c r="G19" s="158">
        <v>97</v>
      </c>
    </row>
    <row r="20" spans="1:7">
      <c r="A20" s="152">
        <v>86</v>
      </c>
      <c r="C20" s="234"/>
      <c r="D20" s="235"/>
      <c r="E20" s="236"/>
      <c r="G20" s="158">
        <v>84</v>
      </c>
    </row>
    <row r="21" spans="1:7">
      <c r="A21" s="152">
        <v>51</v>
      </c>
      <c r="C21" s="234"/>
      <c r="D21" s="235"/>
      <c r="E21" s="236"/>
      <c r="G21" s="158">
        <v>79</v>
      </c>
    </row>
    <row r="22" spans="1:7">
      <c r="A22" s="152">
        <v>95</v>
      </c>
      <c r="C22" s="234"/>
      <c r="D22" s="235"/>
      <c r="E22" s="236"/>
      <c r="G22" s="158">
        <v>53</v>
      </c>
    </row>
    <row r="23" spans="1:7">
      <c r="A23" s="152">
        <v>84</v>
      </c>
      <c r="C23" s="234"/>
      <c r="D23" s="235"/>
      <c r="E23" s="236"/>
      <c r="G23" s="158">
        <v>50</v>
      </c>
    </row>
    <row r="24" spans="1:7">
      <c r="A24" s="152">
        <v>88</v>
      </c>
      <c r="C24" s="234"/>
      <c r="D24" s="235"/>
      <c r="E24" s="236"/>
      <c r="G24" s="158">
        <v>53</v>
      </c>
    </row>
    <row r="25" spans="1:7">
      <c r="A25" s="152">
        <v>92</v>
      </c>
      <c r="C25" s="237"/>
      <c r="D25" s="238"/>
      <c r="E25" s="239"/>
      <c r="G25" s="158">
        <v>78</v>
      </c>
    </row>
    <row r="26" spans="1:7">
      <c r="A26" s="152">
        <v>85</v>
      </c>
      <c r="G26" s="158">
        <v>54</v>
      </c>
    </row>
    <row r="27" spans="1:7">
      <c r="A27" s="152">
        <v>74</v>
      </c>
      <c r="G27" s="158">
        <v>85</v>
      </c>
    </row>
    <row r="28" spans="1:7">
      <c r="A28" s="152">
        <v>76</v>
      </c>
      <c r="G28" s="158">
        <v>54</v>
      </c>
    </row>
    <row r="29" spans="1:7">
      <c r="A29" s="152">
        <v>60</v>
      </c>
      <c r="G29" s="158">
        <v>98</v>
      </c>
    </row>
    <row r="30" spans="1:7">
      <c r="A30" s="152">
        <v>65</v>
      </c>
      <c r="G30" s="158">
        <v>92</v>
      </c>
    </row>
    <row r="31" spans="1:7">
      <c r="A31" s="152">
        <v>93</v>
      </c>
      <c r="G31" s="158">
        <v>84</v>
      </c>
    </row>
    <row r="32" spans="1:7">
      <c r="A32" s="152">
        <v>98</v>
      </c>
      <c r="G32" s="158">
        <v>71</v>
      </c>
    </row>
    <row r="33" spans="1:7">
      <c r="A33" s="152">
        <v>64</v>
      </c>
      <c r="G33" s="158">
        <v>100</v>
      </c>
    </row>
    <row r="34" spans="1:7">
      <c r="A34" s="152">
        <v>77</v>
      </c>
      <c r="G34" s="158">
        <v>94</v>
      </c>
    </row>
    <row r="35" spans="1:7">
      <c r="A35" s="152">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zoomScale="90" zoomScaleNormal="90" workbookViewId="0">
      <selection sqref="A1:D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96" t="s">
        <v>953</v>
      </c>
      <c r="B1" s="196"/>
      <c r="C1" s="196"/>
      <c r="D1" s="196"/>
      <c r="E1" s="76"/>
      <c r="F1" s="76"/>
      <c r="G1" s="76"/>
      <c r="H1" s="76"/>
      <c r="I1" s="76"/>
      <c r="J1" s="76"/>
      <c r="K1" s="76"/>
    </row>
    <row r="2" spans="1:11" ht="15.75" thickTop="1"/>
    <row r="3" spans="1:11" ht="18.75">
      <c r="A3" s="74" t="s">
        <v>954</v>
      </c>
    </row>
    <row r="4" spans="1:11" ht="15" customHeight="1">
      <c r="A4" s="200" t="s">
        <v>955</v>
      </c>
      <c r="B4" s="200"/>
      <c r="C4" s="200"/>
      <c r="D4" s="200"/>
      <c r="E4" s="200"/>
      <c r="F4" s="200"/>
      <c r="G4" s="200"/>
      <c r="H4" s="200"/>
      <c r="I4" s="200"/>
    </row>
    <row r="5" spans="1:11">
      <c r="A5" s="156"/>
      <c r="B5" s="156"/>
      <c r="C5" s="156"/>
      <c r="D5" s="156"/>
      <c r="E5" s="156"/>
      <c r="F5" s="156"/>
      <c r="G5" s="156"/>
      <c r="H5" s="156"/>
      <c r="I5" s="156"/>
    </row>
    <row r="6" spans="1:11" ht="18.75">
      <c r="A6" s="74" t="s">
        <v>3</v>
      </c>
      <c r="B6" s="156"/>
      <c r="C6" s="156"/>
      <c r="D6" s="156"/>
      <c r="E6" s="156"/>
      <c r="F6" s="156"/>
      <c r="G6" s="156"/>
      <c r="H6" s="156"/>
      <c r="I6" s="156"/>
    </row>
    <row r="7" spans="1:11" ht="15.75">
      <c r="A7" s="77" t="s">
        <v>956</v>
      </c>
      <c r="B7" s="156"/>
      <c r="C7" s="156"/>
      <c r="D7" s="156"/>
      <c r="E7" s="156"/>
      <c r="F7" s="156"/>
      <c r="G7" s="156"/>
      <c r="H7" s="156"/>
      <c r="I7" s="156"/>
    </row>
    <row r="8" spans="1:11">
      <c r="A8" s="156"/>
      <c r="B8" s="156"/>
      <c r="C8" s="156"/>
      <c r="D8" s="156"/>
      <c r="E8" s="156"/>
      <c r="F8" s="156"/>
      <c r="G8" s="156"/>
      <c r="H8" s="156"/>
      <c r="I8" s="156"/>
    </row>
    <row r="9" spans="1:11">
      <c r="A9" s="137" t="s">
        <v>957</v>
      </c>
      <c r="B9" s="156"/>
      <c r="C9" s="156"/>
      <c r="D9" s="156"/>
      <c r="E9" s="156"/>
      <c r="F9" s="156"/>
      <c r="G9" s="156"/>
      <c r="H9" s="156"/>
      <c r="I9" s="156"/>
    </row>
    <row r="10" spans="1:11">
      <c r="A10" s="156" t="s">
        <v>958</v>
      </c>
      <c r="B10" s="156"/>
      <c r="C10" s="156"/>
      <c r="D10" s="156"/>
      <c r="E10" s="156"/>
      <c r="F10" s="156"/>
      <c r="G10" s="156"/>
      <c r="H10" s="156"/>
      <c r="I10" s="156"/>
    </row>
    <row r="11" spans="1:11">
      <c r="A11" s="156"/>
      <c r="B11" s="156"/>
      <c r="C11" s="156"/>
      <c r="D11" s="156"/>
      <c r="E11" s="156"/>
      <c r="F11" s="156"/>
      <c r="G11" s="156"/>
      <c r="H11" s="156"/>
      <c r="I11" s="156"/>
    </row>
    <row r="12" spans="1:11">
      <c r="A12" s="137" t="s">
        <v>959</v>
      </c>
      <c r="B12" s="156"/>
      <c r="C12" s="156"/>
      <c r="D12" s="156"/>
      <c r="E12" s="156"/>
      <c r="F12" s="156"/>
      <c r="G12" s="156"/>
      <c r="H12" s="156"/>
      <c r="I12" s="156"/>
    </row>
    <row r="13" spans="1:11">
      <c r="A13" s="136" t="s">
        <v>960</v>
      </c>
      <c r="B13" s="156"/>
      <c r="C13" s="156"/>
      <c r="D13" s="156"/>
      <c r="E13" s="156"/>
      <c r="F13" s="156"/>
      <c r="G13" s="156"/>
      <c r="H13" s="156"/>
      <c r="I13" s="156"/>
    </row>
    <row r="14" spans="1:11">
      <c r="A14" s="156"/>
      <c r="B14" s="156"/>
      <c r="C14" s="156"/>
      <c r="D14" s="156"/>
      <c r="E14" s="156"/>
      <c r="F14" s="156"/>
      <c r="G14" s="156"/>
      <c r="H14" s="156"/>
      <c r="I14" s="156"/>
    </row>
    <row r="15" spans="1:11">
      <c r="A15" s="137" t="s">
        <v>961</v>
      </c>
      <c r="B15" s="156"/>
      <c r="C15" s="156"/>
      <c r="D15" s="156"/>
      <c r="E15" s="156"/>
      <c r="F15" s="156"/>
      <c r="G15" s="156"/>
      <c r="H15" s="156"/>
      <c r="I15" s="156"/>
    </row>
    <row r="16" spans="1:11">
      <c r="A16" s="136" t="s">
        <v>962</v>
      </c>
      <c r="B16" s="156"/>
      <c r="C16" s="156"/>
      <c r="D16" s="156"/>
      <c r="E16" s="156"/>
      <c r="F16" s="156"/>
      <c r="G16" s="156"/>
      <c r="H16" s="156"/>
      <c r="I16" s="156"/>
    </row>
    <row r="17" spans="1:9">
      <c r="A17" s="156"/>
      <c r="B17" s="156"/>
      <c r="C17" s="156"/>
      <c r="D17" s="156"/>
      <c r="E17" s="156"/>
      <c r="F17" s="156"/>
      <c r="G17" s="156"/>
      <c r="H17" s="156"/>
      <c r="I17" s="156"/>
    </row>
    <row r="18" spans="1:9">
      <c r="A18" s="137" t="s">
        <v>963</v>
      </c>
      <c r="B18" s="156"/>
      <c r="C18" s="156"/>
      <c r="D18" s="156"/>
      <c r="E18" s="156"/>
      <c r="F18" s="156"/>
      <c r="G18" s="156"/>
      <c r="H18" s="156"/>
      <c r="I18" s="156"/>
    </row>
    <row r="19" spans="1:9">
      <c r="A19" s="167" t="s">
        <v>964</v>
      </c>
      <c r="B19" s="167"/>
      <c r="C19" s="167"/>
      <c r="D19" s="167"/>
      <c r="E19" s="167"/>
      <c r="F19" s="167"/>
      <c r="G19" s="167"/>
      <c r="H19" s="167"/>
      <c r="I19" s="156"/>
    </row>
    <row r="20" spans="1:9">
      <c r="A20" s="167"/>
      <c r="B20" s="167"/>
      <c r="C20" s="167"/>
      <c r="D20" s="167"/>
      <c r="E20" s="167"/>
      <c r="F20" s="167"/>
      <c r="G20" s="167"/>
      <c r="H20" s="167"/>
      <c r="I20" s="156"/>
    </row>
    <row r="21" spans="1:9">
      <c r="A21" s="144"/>
      <c r="B21" s="144"/>
      <c r="C21" s="144"/>
      <c r="D21" s="144"/>
      <c r="E21" s="144"/>
      <c r="F21" s="144"/>
      <c r="G21" s="144"/>
      <c r="H21" s="144"/>
      <c r="I21" s="156"/>
    </row>
    <row r="22" spans="1:9">
      <c r="A22" s="167" t="s">
        <v>965</v>
      </c>
      <c r="B22" s="167"/>
      <c r="C22" s="167"/>
      <c r="D22" s="167"/>
      <c r="E22" s="167"/>
      <c r="F22" s="167"/>
      <c r="G22" s="167"/>
      <c r="H22" s="167"/>
      <c r="I22" s="156"/>
    </row>
    <row r="23" spans="1:9">
      <c r="A23" s="167"/>
      <c r="B23" s="167"/>
      <c r="C23" s="167"/>
      <c r="D23" s="167"/>
      <c r="E23" s="167"/>
      <c r="F23" s="167"/>
      <c r="G23" s="167"/>
      <c r="H23" s="167"/>
      <c r="I23" s="156"/>
    </row>
    <row r="24" spans="1:9">
      <c r="A24" s="138" t="s">
        <v>957</v>
      </c>
      <c r="B24" s="139">
        <f>0.04/12</f>
        <v>3.3333333333333335E-3</v>
      </c>
      <c r="C24" s="136" t="s">
        <v>966</v>
      </c>
      <c r="D24" s="156"/>
      <c r="E24" s="156"/>
      <c r="F24" s="156"/>
      <c r="G24" s="156"/>
      <c r="H24" s="156"/>
      <c r="I24" s="156"/>
    </row>
    <row r="25" spans="1:9">
      <c r="A25" s="138" t="s">
        <v>967</v>
      </c>
      <c r="B25" s="155">
        <v>48</v>
      </c>
      <c r="C25" s="156"/>
      <c r="D25" s="156"/>
      <c r="E25" s="156"/>
      <c r="F25" s="156"/>
      <c r="G25" s="156"/>
      <c r="H25" s="156"/>
      <c r="I25" s="156"/>
    </row>
    <row r="26" spans="1:9" ht="15" customHeight="1">
      <c r="A26" s="138" t="s">
        <v>961</v>
      </c>
      <c r="B26" s="140">
        <v>80000</v>
      </c>
      <c r="C26" s="156"/>
      <c r="D26" s="240" t="s">
        <v>968</v>
      </c>
      <c r="E26" s="240"/>
      <c r="F26" s="240"/>
      <c r="G26" s="240"/>
      <c r="H26" s="156"/>
      <c r="I26" s="156"/>
    </row>
    <row r="27" spans="1:9">
      <c r="A27" s="164" t="s">
        <v>969</v>
      </c>
      <c r="B27" s="140">
        <f>PMT(B24,B25,B26)</f>
        <v>-1806.3243713351985</v>
      </c>
      <c r="C27" s="156"/>
      <c r="D27" s="240"/>
      <c r="E27" s="240"/>
      <c r="F27" s="240"/>
      <c r="G27" s="240"/>
      <c r="H27" s="156"/>
      <c r="I27" s="156"/>
    </row>
    <row r="28" spans="1:9">
      <c r="A28" s="164" t="s">
        <v>16</v>
      </c>
      <c r="B28" s="203" t="s">
        <v>970</v>
      </c>
      <c r="C28" s="203"/>
      <c r="D28" s="240"/>
      <c r="E28" s="240"/>
      <c r="F28" s="240"/>
      <c r="G28" s="240"/>
      <c r="H28" s="156"/>
      <c r="I28" s="156"/>
    </row>
    <row r="29" spans="1:9">
      <c r="A29" s="156"/>
      <c r="B29" s="156"/>
      <c r="C29" s="156"/>
      <c r="D29" s="156"/>
      <c r="E29" s="156"/>
      <c r="F29" s="156"/>
      <c r="G29" s="156"/>
      <c r="H29" s="156"/>
      <c r="I29" s="156"/>
    </row>
    <row r="30" spans="1:9">
      <c r="A30" s="156"/>
      <c r="B30" s="156"/>
      <c r="C30" s="156"/>
      <c r="D30" s="156"/>
      <c r="E30" s="156"/>
      <c r="F30" s="156"/>
      <c r="G30" s="156"/>
      <c r="H30" s="156"/>
      <c r="I30" s="156"/>
    </row>
    <row r="31" spans="1:9" ht="18.75">
      <c r="A31" s="74" t="s">
        <v>971</v>
      </c>
    </row>
    <row r="32" spans="1:9">
      <c r="A32" s="200" t="s">
        <v>972</v>
      </c>
      <c r="B32" s="200"/>
      <c r="C32" s="200"/>
      <c r="D32" s="200"/>
      <c r="E32" s="200"/>
      <c r="F32" s="200"/>
      <c r="G32" s="200"/>
      <c r="H32" s="200"/>
      <c r="I32" s="200"/>
    </row>
    <row r="33" spans="1:9">
      <c r="A33" s="156"/>
      <c r="B33" s="156"/>
      <c r="C33" s="156"/>
      <c r="D33" s="156"/>
      <c r="E33" s="156"/>
      <c r="F33" s="156"/>
      <c r="G33" s="156"/>
      <c r="H33" s="156"/>
      <c r="I33" s="156"/>
    </row>
    <row r="34" spans="1:9" ht="18.75">
      <c r="A34" s="74" t="s">
        <v>3</v>
      </c>
      <c r="B34" s="156"/>
      <c r="C34" s="156"/>
      <c r="D34" s="156"/>
      <c r="E34" s="156"/>
      <c r="F34" s="156"/>
      <c r="G34" s="156"/>
      <c r="H34" s="156"/>
      <c r="I34" s="156"/>
    </row>
    <row r="35" spans="1:9" ht="15.75">
      <c r="A35" s="77" t="s">
        <v>973</v>
      </c>
      <c r="B35" s="156"/>
      <c r="C35" s="156"/>
      <c r="D35" s="156"/>
      <c r="E35" s="156"/>
      <c r="F35" s="156"/>
      <c r="G35" s="156"/>
      <c r="H35" s="156"/>
      <c r="I35" s="156"/>
    </row>
    <row r="36" spans="1:9">
      <c r="A36" s="156"/>
      <c r="B36" s="156"/>
    </row>
    <row r="37" spans="1:9">
      <c r="A37" s="137" t="s">
        <v>957</v>
      </c>
      <c r="B37" s="156"/>
    </row>
    <row r="38" spans="1:9">
      <c r="A38" s="156" t="s">
        <v>958</v>
      </c>
      <c r="B38" s="156"/>
    </row>
    <row r="39" spans="1:9">
      <c r="A39" s="156"/>
      <c r="B39" s="156"/>
    </row>
    <row r="40" spans="1:9">
      <c r="A40" s="137" t="s">
        <v>969</v>
      </c>
      <c r="B40" s="156"/>
    </row>
    <row r="41" spans="1:9">
      <c r="A41" s="136" t="s">
        <v>974</v>
      </c>
      <c r="B41" s="156"/>
    </row>
    <row r="42" spans="1:9">
      <c r="A42" s="156"/>
      <c r="B42" s="156"/>
    </row>
    <row r="43" spans="1:9">
      <c r="A43" s="137" t="s">
        <v>961</v>
      </c>
      <c r="B43" s="156"/>
    </row>
    <row r="44" spans="1:9">
      <c r="A44" s="136" t="s">
        <v>962</v>
      </c>
      <c r="B44" s="156"/>
    </row>
    <row r="46" spans="1:9">
      <c r="A46" s="137" t="s">
        <v>963</v>
      </c>
      <c r="B46" s="156"/>
      <c r="C46" s="156"/>
      <c r="D46" s="156"/>
      <c r="E46" s="156"/>
      <c r="F46" s="156"/>
      <c r="G46" s="156"/>
      <c r="H46" s="156"/>
    </row>
    <row r="47" spans="1:9">
      <c r="A47" s="167" t="s">
        <v>964</v>
      </c>
      <c r="B47" s="167"/>
      <c r="C47" s="167"/>
      <c r="D47" s="167"/>
      <c r="E47" s="167"/>
      <c r="F47" s="167"/>
      <c r="G47" s="167"/>
      <c r="H47" s="167"/>
    </row>
    <row r="48" spans="1:9">
      <c r="A48" s="167"/>
      <c r="B48" s="167"/>
      <c r="C48" s="167"/>
      <c r="D48" s="167"/>
      <c r="E48" s="167"/>
      <c r="F48" s="167"/>
      <c r="G48" s="167"/>
      <c r="H48" s="167"/>
    </row>
    <row r="50" spans="1:9">
      <c r="A50" s="138" t="s">
        <v>957</v>
      </c>
      <c r="B50" s="139">
        <f>0.04/12</f>
        <v>3.3333333333333335E-3</v>
      </c>
      <c r="C50" s="136"/>
    </row>
    <row r="51" spans="1:9">
      <c r="A51" s="138" t="s">
        <v>969</v>
      </c>
      <c r="B51" s="140">
        <v>-1500</v>
      </c>
      <c r="C51" s="156"/>
      <c r="D51" s="241" t="s">
        <v>975</v>
      </c>
      <c r="E51" s="242"/>
      <c r="F51" s="242"/>
      <c r="G51" s="243"/>
    </row>
    <row r="52" spans="1:9">
      <c r="A52" s="138" t="s">
        <v>961</v>
      </c>
      <c r="B52" s="140">
        <v>80000</v>
      </c>
      <c r="C52" s="156"/>
      <c r="D52" s="244"/>
      <c r="E52" s="245"/>
      <c r="F52" s="245"/>
      <c r="G52" s="246"/>
    </row>
    <row r="53" spans="1:9">
      <c r="A53" s="164" t="s">
        <v>967</v>
      </c>
      <c r="B53" s="141">
        <f>NPER(B50,B51,B52)</f>
        <v>58.821191143328278</v>
      </c>
      <c r="C53" s="156"/>
    </row>
    <row r="54" spans="1:9">
      <c r="A54" s="164" t="s">
        <v>16</v>
      </c>
      <c r="B54" s="203" t="s">
        <v>976</v>
      </c>
      <c r="C54" s="203"/>
    </row>
    <row r="57" spans="1:9" ht="18.75">
      <c r="A57" s="74" t="s">
        <v>977</v>
      </c>
    </row>
    <row r="58" spans="1:9">
      <c r="A58" s="200" t="s">
        <v>978</v>
      </c>
      <c r="B58" s="200"/>
      <c r="C58" s="200"/>
      <c r="D58" s="200"/>
      <c r="E58" s="200"/>
      <c r="F58" s="200"/>
      <c r="G58" s="200"/>
      <c r="H58" s="200"/>
      <c r="I58" s="200"/>
    </row>
    <row r="59" spans="1:9">
      <c r="A59" s="156"/>
      <c r="B59" s="156"/>
      <c r="C59" s="156"/>
      <c r="D59" s="156"/>
      <c r="E59" s="156"/>
      <c r="F59" s="156"/>
      <c r="G59" s="156"/>
      <c r="H59" s="156"/>
      <c r="I59" s="156"/>
    </row>
    <row r="60" spans="1:9" ht="18.75">
      <c r="A60" s="74" t="s">
        <v>3</v>
      </c>
      <c r="B60" s="156"/>
      <c r="C60" s="156"/>
      <c r="D60" s="156"/>
      <c r="E60" s="156"/>
      <c r="F60" s="156"/>
      <c r="G60" s="156"/>
      <c r="H60" s="156"/>
      <c r="I60" s="156"/>
    </row>
    <row r="61" spans="1:9" ht="15.75">
      <c r="A61" s="77" t="s">
        <v>979</v>
      </c>
      <c r="B61" s="156"/>
      <c r="C61" s="156"/>
      <c r="D61" s="156"/>
      <c r="E61" s="156"/>
      <c r="F61" s="156"/>
      <c r="G61" s="156"/>
      <c r="H61" s="156"/>
      <c r="I61" s="156"/>
    </row>
    <row r="62" spans="1:9">
      <c r="A62" s="156"/>
      <c r="B62" s="156"/>
    </row>
    <row r="63" spans="1:9">
      <c r="A63" s="137" t="s">
        <v>957</v>
      </c>
      <c r="B63" s="156"/>
    </row>
    <row r="64" spans="1:9">
      <c r="A64" s="156" t="s">
        <v>958</v>
      </c>
      <c r="B64" s="156"/>
    </row>
    <row r="65" spans="1:8">
      <c r="A65" s="156"/>
      <c r="B65" s="156"/>
    </row>
    <row r="66" spans="1:8">
      <c r="A66" s="137" t="s">
        <v>967</v>
      </c>
      <c r="B66" s="156"/>
    </row>
    <row r="67" spans="1:8">
      <c r="A67" s="136" t="s">
        <v>960</v>
      </c>
      <c r="B67" s="156"/>
    </row>
    <row r="68" spans="1:8">
      <c r="A68" s="156"/>
      <c r="B68" s="156"/>
    </row>
    <row r="69" spans="1:8">
      <c r="A69" s="137" t="s">
        <v>969</v>
      </c>
      <c r="B69" s="156"/>
    </row>
    <row r="70" spans="1:8">
      <c r="A70" s="136" t="s">
        <v>974</v>
      </c>
      <c r="B70" s="156"/>
    </row>
    <row r="72" spans="1:8">
      <c r="A72" s="137" t="s">
        <v>963</v>
      </c>
      <c r="B72" s="156"/>
      <c r="C72" s="156"/>
      <c r="D72" s="156"/>
      <c r="E72" s="156"/>
      <c r="F72" s="156"/>
      <c r="G72" s="156"/>
      <c r="H72" s="156"/>
    </row>
    <row r="73" spans="1:8">
      <c r="A73" s="167" t="s">
        <v>964</v>
      </c>
      <c r="B73" s="167"/>
      <c r="C73" s="167"/>
      <c r="D73" s="167"/>
      <c r="E73" s="167"/>
      <c r="F73" s="167"/>
      <c r="G73" s="167"/>
      <c r="H73" s="167"/>
    </row>
    <row r="74" spans="1:8">
      <c r="A74" s="167"/>
      <c r="B74" s="167"/>
      <c r="C74" s="167"/>
      <c r="D74" s="167"/>
      <c r="E74" s="167"/>
      <c r="F74" s="167"/>
      <c r="G74" s="167"/>
      <c r="H74" s="167"/>
    </row>
    <row r="76" spans="1:8">
      <c r="A76" s="138" t="s">
        <v>957</v>
      </c>
      <c r="B76" s="139">
        <f>0.04/12</f>
        <v>3.3333333333333335E-3</v>
      </c>
      <c r="C76" s="136"/>
    </row>
    <row r="77" spans="1:8">
      <c r="A77" s="138" t="s">
        <v>969</v>
      </c>
      <c r="B77" s="140">
        <v>-1806</v>
      </c>
      <c r="C77" s="156"/>
      <c r="D77" s="241" t="s">
        <v>980</v>
      </c>
      <c r="E77" s="242"/>
      <c r="F77" s="242"/>
      <c r="G77" s="243"/>
    </row>
    <row r="78" spans="1:8">
      <c r="A78" s="138" t="s">
        <v>967</v>
      </c>
      <c r="B78" s="141">
        <v>48</v>
      </c>
      <c r="C78" s="156"/>
      <c r="D78" s="244"/>
      <c r="E78" s="245"/>
      <c r="F78" s="245"/>
      <c r="G78" s="246"/>
    </row>
    <row r="79" spans="1:8">
      <c r="A79" s="164" t="s">
        <v>961</v>
      </c>
      <c r="B79" s="140">
        <f>PV(B76,B78,B77)</f>
        <v>79985.633971824762</v>
      </c>
      <c r="C79" s="156"/>
    </row>
    <row r="80" spans="1:8">
      <c r="A80" s="164" t="s">
        <v>16</v>
      </c>
      <c r="B80" s="203" t="s">
        <v>981</v>
      </c>
      <c r="C80" s="203"/>
    </row>
    <row r="83" spans="1:9" ht="18.75">
      <c r="A83" s="74" t="s">
        <v>982</v>
      </c>
    </row>
    <row r="84" spans="1:9">
      <c r="A84" s="200" t="s">
        <v>983</v>
      </c>
      <c r="B84" s="200"/>
      <c r="C84" s="200"/>
      <c r="D84" s="200"/>
      <c r="E84" s="200"/>
      <c r="F84" s="200"/>
      <c r="G84" s="200"/>
      <c r="H84" s="200"/>
      <c r="I84" s="200"/>
    </row>
    <row r="85" spans="1:9">
      <c r="A85" s="156"/>
      <c r="B85" s="156"/>
      <c r="C85" s="156"/>
      <c r="D85" s="156"/>
      <c r="E85" s="156"/>
      <c r="F85" s="156"/>
      <c r="G85" s="156"/>
      <c r="H85" s="156"/>
      <c r="I85" s="156"/>
    </row>
    <row r="86" spans="1:9" ht="18.75">
      <c r="A86" s="74" t="s">
        <v>3</v>
      </c>
      <c r="B86" s="156"/>
      <c r="C86" s="156"/>
      <c r="D86" s="156"/>
      <c r="E86" s="156"/>
      <c r="F86" s="156"/>
      <c r="G86" s="156"/>
      <c r="H86" s="156"/>
      <c r="I86" s="156"/>
    </row>
    <row r="87" spans="1:9" ht="15.75">
      <c r="A87" s="77" t="s">
        <v>984</v>
      </c>
      <c r="B87" s="156"/>
      <c r="C87" s="156"/>
      <c r="D87" s="156"/>
      <c r="E87" s="156"/>
      <c r="F87" s="156"/>
      <c r="G87" s="156"/>
      <c r="H87" s="156"/>
      <c r="I87" s="156"/>
    </row>
    <row r="88" spans="1:9">
      <c r="A88" s="156"/>
      <c r="B88" s="156"/>
    </row>
    <row r="89" spans="1:9">
      <c r="A89" s="137" t="s">
        <v>957</v>
      </c>
      <c r="B89" s="156"/>
    </row>
    <row r="90" spans="1:9">
      <c r="A90" s="156" t="s">
        <v>958</v>
      </c>
      <c r="B90" s="156"/>
    </row>
    <row r="91" spans="1:9">
      <c r="A91" s="156"/>
      <c r="B91" s="156"/>
    </row>
    <row r="92" spans="1:9">
      <c r="A92" s="137" t="s">
        <v>967</v>
      </c>
      <c r="B92" s="156"/>
    </row>
    <row r="93" spans="1:9">
      <c r="A93" s="136" t="s">
        <v>960</v>
      </c>
      <c r="B93" s="156"/>
    </row>
    <row r="94" spans="1:9">
      <c r="A94" s="156"/>
      <c r="B94" s="156"/>
    </row>
    <row r="95" spans="1:9">
      <c r="A95" s="137" t="s">
        <v>969</v>
      </c>
      <c r="B95" s="156"/>
    </row>
    <row r="96" spans="1:9">
      <c r="A96" s="136" t="s">
        <v>974</v>
      </c>
      <c r="B96" s="156"/>
    </row>
    <row r="98" spans="1:8">
      <c r="A98" s="137" t="s">
        <v>985</v>
      </c>
      <c r="B98" s="156"/>
      <c r="C98" s="156"/>
      <c r="D98" s="156"/>
      <c r="E98" s="156"/>
      <c r="F98" s="156"/>
      <c r="G98" s="156"/>
      <c r="H98" s="156"/>
    </row>
    <row r="99" spans="1:8">
      <c r="A99" s="167" t="s">
        <v>986</v>
      </c>
      <c r="B99" s="167"/>
      <c r="C99" s="167"/>
      <c r="D99" s="167"/>
      <c r="E99" s="167"/>
      <c r="F99" s="167"/>
      <c r="G99" s="167"/>
      <c r="H99" s="167"/>
    </row>
    <row r="100" spans="1:8">
      <c r="A100" s="167"/>
      <c r="B100" s="167"/>
      <c r="C100" s="167"/>
      <c r="D100" s="167"/>
      <c r="E100" s="167"/>
      <c r="F100" s="167"/>
      <c r="G100" s="167"/>
      <c r="H100" s="167"/>
    </row>
    <row r="102" spans="1:8">
      <c r="A102" s="138" t="s">
        <v>957</v>
      </c>
      <c r="B102" s="139">
        <f>0.04/12</f>
        <v>3.3333333333333335E-3</v>
      </c>
      <c r="C102" s="136"/>
    </row>
    <row r="103" spans="1:8" ht="15" customHeight="1">
      <c r="A103" s="138" t="s">
        <v>969</v>
      </c>
      <c r="B103" s="140">
        <v>-1806</v>
      </c>
      <c r="C103" s="156"/>
      <c r="D103" s="247" t="s">
        <v>987</v>
      </c>
      <c r="E103" s="247"/>
      <c r="F103" s="247"/>
      <c r="G103" s="247"/>
    </row>
    <row r="104" spans="1:8">
      <c r="A104" s="138" t="s">
        <v>967</v>
      </c>
      <c r="B104" s="141">
        <v>48</v>
      </c>
      <c r="C104" s="156"/>
      <c r="D104" s="248"/>
      <c r="E104" s="248"/>
      <c r="F104" s="248"/>
      <c r="G104" s="248"/>
    </row>
    <row r="105" spans="1:8">
      <c r="A105" s="164" t="s">
        <v>988</v>
      </c>
      <c r="B105" s="140">
        <f>FV(B102,B104,B103,B79)</f>
        <v>0</v>
      </c>
      <c r="C105" s="156"/>
      <c r="D105" s="248"/>
      <c r="E105" s="248"/>
      <c r="F105" s="248"/>
      <c r="G105" s="248"/>
    </row>
    <row r="106" spans="1:8">
      <c r="A106" s="164" t="s">
        <v>16</v>
      </c>
      <c r="B106" s="203" t="s">
        <v>989</v>
      </c>
      <c r="C106" s="203"/>
    </row>
  </sheetData>
  <mergeCells count="18">
    <mergeCell ref="A84:I84"/>
    <mergeCell ref="A99:H100"/>
    <mergeCell ref="B106:C106"/>
    <mergeCell ref="D103:G105"/>
    <mergeCell ref="B54:C54"/>
    <mergeCell ref="D51:G52"/>
    <mergeCell ref="A58:I58"/>
    <mergeCell ref="A73:H74"/>
    <mergeCell ref="D77:G78"/>
    <mergeCell ref="B80:C80"/>
    <mergeCell ref="A47:H48"/>
    <mergeCell ref="D26:G28"/>
    <mergeCell ref="A4:I4"/>
    <mergeCell ref="A1:D1"/>
    <mergeCell ref="A22:H23"/>
    <mergeCell ref="A19:H20"/>
    <mergeCell ref="B28:C28"/>
    <mergeCell ref="A32:I32"/>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e">
        <f ca="1">MID(CELL("filename",A1),FIND("]",CELL("filename",A1))+1,256)</f>
        <v>#VALUE!</v>
      </c>
      <c r="B1" s="4"/>
      <c r="C1" s="4"/>
      <c r="D1" s="4"/>
      <c r="E1" s="4"/>
      <c r="F1" s="4"/>
      <c r="G1" s="4"/>
      <c r="H1" s="4"/>
      <c r="I1" s="4"/>
      <c r="J1" s="4"/>
      <c r="K1" s="25"/>
    </row>
    <row r="2" spans="1:11" ht="13.5" thickTop="1"/>
    <row r="3" spans="1:11">
      <c r="H3" s="26"/>
    </row>
    <row r="4" spans="1:11">
      <c r="H4" s="26"/>
    </row>
    <row r="5" spans="1:11">
      <c r="C5" s="27" t="s">
        <v>990</v>
      </c>
      <c r="D5" s="27" t="s">
        <v>991</v>
      </c>
      <c r="E5" s="27" t="s">
        <v>992</v>
      </c>
      <c r="F5" s="27" t="s">
        <v>993</v>
      </c>
      <c r="G5" s="27" t="s">
        <v>994</v>
      </c>
      <c r="H5" s="27" t="s">
        <v>995</v>
      </c>
    </row>
    <row r="6" spans="1:11">
      <c r="C6" s="28" t="s">
        <v>648</v>
      </c>
      <c r="D6" s="12">
        <v>10</v>
      </c>
      <c r="E6" s="12">
        <v>20</v>
      </c>
      <c r="F6" s="12">
        <v>30</v>
      </c>
      <c r="G6" s="12">
        <v>40</v>
      </c>
      <c r="H6" s="12">
        <v>50</v>
      </c>
    </row>
    <row r="7" spans="1:11">
      <c r="C7" s="28" t="s">
        <v>649</v>
      </c>
      <c r="D7" s="12">
        <v>80</v>
      </c>
      <c r="E7" s="12">
        <v>90</v>
      </c>
      <c r="F7" s="12">
        <v>100</v>
      </c>
      <c r="G7" s="12">
        <v>110</v>
      </c>
      <c r="H7" s="12">
        <v>120</v>
      </c>
    </row>
    <row r="8" spans="1:11">
      <c r="C8" s="28" t="s">
        <v>996</v>
      </c>
      <c r="D8" s="12">
        <v>97</v>
      </c>
      <c r="E8" s="12">
        <v>69</v>
      </c>
      <c r="F8" s="12">
        <v>45</v>
      </c>
      <c r="G8" s="12">
        <v>51</v>
      </c>
      <c r="H8" s="12">
        <v>77</v>
      </c>
    </row>
    <row r="11" spans="1:11">
      <c r="C11" s="29"/>
      <c r="D11" s="30"/>
      <c r="E11" s="30"/>
      <c r="F11" s="31" t="s">
        <v>997</v>
      </c>
      <c r="G11" s="12" t="s">
        <v>649</v>
      </c>
    </row>
    <row r="12" spans="1:11">
      <c r="C12" s="29"/>
      <c r="D12" s="30"/>
      <c r="E12" s="30"/>
      <c r="F12" s="31" t="s">
        <v>998</v>
      </c>
      <c r="G12" s="12">
        <v>4</v>
      </c>
    </row>
    <row r="14" spans="1:11">
      <c r="E14" s="29"/>
      <c r="F14" s="31" t="s">
        <v>999</v>
      </c>
      <c r="G14" s="21">
        <f>VLOOKUP(G11,C6:H8,G12,FALSE)</f>
        <v>100</v>
      </c>
    </row>
    <row r="15" spans="1:11">
      <c r="G15" s="6" t="s">
        <v>1000</v>
      </c>
    </row>
    <row r="17" spans="2:15" ht="13.5" thickBot="1">
      <c r="B17" s="5" t="s">
        <v>1001</v>
      </c>
      <c r="C17" s="5"/>
      <c r="D17" s="5"/>
      <c r="E17" s="5"/>
      <c r="F17" s="5"/>
      <c r="G17" s="5"/>
      <c r="H17" s="5"/>
      <c r="I17" s="5"/>
      <c r="J17" s="5"/>
      <c r="K17" s="23"/>
    </row>
    <row r="18" spans="2:15">
      <c r="B18" s="6" t="s">
        <v>1002</v>
      </c>
    </row>
    <row r="19" spans="2:15">
      <c r="B19" s="1" t="s">
        <v>1003</v>
      </c>
    </row>
    <row r="21" spans="2:15" ht="13.5" thickBot="1">
      <c r="B21" s="5" t="s">
        <v>3</v>
      </c>
      <c r="C21" s="5"/>
      <c r="D21" s="5"/>
      <c r="E21" s="5"/>
      <c r="F21" s="5"/>
      <c r="G21" s="5"/>
      <c r="H21" s="5"/>
      <c r="I21" s="5"/>
      <c r="J21" s="5"/>
      <c r="K21" s="23"/>
    </row>
    <row r="22" spans="2:15">
      <c r="B22" s="7" t="s">
        <v>1004</v>
      </c>
    </row>
    <row r="23" spans="2:15">
      <c r="B23" s="1" t="s">
        <v>1005</v>
      </c>
    </row>
    <row r="24" spans="2:15">
      <c r="B24" s="1" t="s">
        <v>1006</v>
      </c>
    </row>
    <row r="25" spans="2:15">
      <c r="B25" s="1" t="s">
        <v>1007</v>
      </c>
    </row>
    <row r="26" spans="2:15">
      <c r="B26" s="1" t="s">
        <v>1008</v>
      </c>
    </row>
    <row r="28" spans="2:15" ht="13.5" thickBot="1">
      <c r="B28" s="5" t="s">
        <v>45</v>
      </c>
      <c r="C28" s="5"/>
      <c r="D28" s="5"/>
      <c r="E28" s="5"/>
      <c r="F28" s="5"/>
      <c r="G28" s="5"/>
      <c r="H28" s="5"/>
      <c r="I28" s="5"/>
      <c r="J28" s="5"/>
      <c r="K28" s="23"/>
    </row>
    <row r="29" spans="2:15">
      <c r="B29" s="1" t="s">
        <v>1009</v>
      </c>
    </row>
    <row r="30" spans="2:15">
      <c r="B30" s="1" t="s">
        <v>1010</v>
      </c>
      <c r="M30" s="32" t="s">
        <v>1011</v>
      </c>
      <c r="N30" s="32" t="s">
        <v>11</v>
      </c>
      <c r="O30" s="32" t="s">
        <v>49</v>
      </c>
    </row>
    <row r="31" spans="2:15">
      <c r="B31" s="1" t="s">
        <v>1012</v>
      </c>
      <c r="M31" s="33" t="s">
        <v>1013</v>
      </c>
      <c r="N31" s="34" t="s">
        <v>1014</v>
      </c>
      <c r="O31" s="33" t="s">
        <v>1015</v>
      </c>
    </row>
    <row r="32" spans="2:15" ht="25.5">
      <c r="B32" s="1" t="s">
        <v>1016</v>
      </c>
      <c r="M32" s="33" t="s">
        <v>1017</v>
      </c>
      <c r="N32" s="34" t="s">
        <v>1018</v>
      </c>
      <c r="O32" s="33" t="s">
        <v>1019</v>
      </c>
    </row>
    <row r="33" spans="2:15">
      <c r="M33" s="33" t="s">
        <v>1020</v>
      </c>
      <c r="N33" s="34" t="s">
        <v>1021</v>
      </c>
      <c r="O33" s="33">
        <v>18</v>
      </c>
    </row>
    <row r="34" spans="2:15">
      <c r="B34" s="1" t="s">
        <v>1022</v>
      </c>
      <c r="M34" s="33" t="s">
        <v>1017</v>
      </c>
      <c r="N34" s="34" t="s">
        <v>1023</v>
      </c>
      <c r="O34" s="33" t="e">
        <v>#N/A</v>
      </c>
    </row>
    <row r="35" spans="2:15">
      <c r="B35" s="1" t="s">
        <v>1024</v>
      </c>
    </row>
    <row r="36" spans="2:15">
      <c r="B36" s="1" t="s">
        <v>1025</v>
      </c>
    </row>
    <row r="37" spans="2:15">
      <c r="B37" s="1" t="s">
        <v>1026</v>
      </c>
    </row>
    <row r="39" spans="2:15">
      <c r="B39" s="1" t="s">
        <v>1027</v>
      </c>
    </row>
    <row r="40" spans="2:15">
      <c r="B40" s="1" t="s">
        <v>1028</v>
      </c>
    </row>
    <row r="42" spans="2:15">
      <c r="B42" s="1" t="s">
        <v>1029</v>
      </c>
    </row>
    <row r="43" spans="2:15">
      <c r="B43" s="1" t="s">
        <v>1030</v>
      </c>
    </row>
    <row r="46" spans="2:15">
      <c r="D46" s="28" t="s">
        <v>648</v>
      </c>
      <c r="E46" s="28" t="s">
        <v>649</v>
      </c>
      <c r="F46" s="28" t="s">
        <v>996</v>
      </c>
    </row>
    <row r="47" spans="2:15">
      <c r="C47" s="28" t="s">
        <v>1031</v>
      </c>
      <c r="D47" s="12">
        <v>10</v>
      </c>
      <c r="E47" s="12">
        <v>80</v>
      </c>
      <c r="F47" s="12">
        <v>97</v>
      </c>
    </row>
    <row r="48" spans="2:15">
      <c r="C48" s="28" t="s">
        <v>1032</v>
      </c>
      <c r="D48" s="12">
        <v>20</v>
      </c>
      <c r="E48" s="12">
        <v>90</v>
      </c>
      <c r="F48" s="12">
        <v>69</v>
      </c>
    </row>
    <row r="49" spans="2:11">
      <c r="C49" s="28" t="s">
        <v>1033</v>
      </c>
      <c r="D49" s="12">
        <v>30</v>
      </c>
      <c r="E49" s="12">
        <v>100</v>
      </c>
      <c r="F49" s="12">
        <v>45</v>
      </c>
    </row>
    <row r="50" spans="2:11">
      <c r="C50" s="28" t="s">
        <v>1034</v>
      </c>
      <c r="D50" s="12">
        <v>40</v>
      </c>
      <c r="E50" s="12">
        <v>110</v>
      </c>
      <c r="F50" s="12">
        <v>51</v>
      </c>
    </row>
    <row r="51" spans="2:11">
      <c r="C51" s="28" t="s">
        <v>1035</v>
      </c>
      <c r="D51" s="12">
        <v>50</v>
      </c>
      <c r="E51" s="12">
        <v>120</v>
      </c>
      <c r="F51" s="12">
        <v>77</v>
      </c>
    </row>
    <row r="53" spans="2:11">
      <c r="B53" s="29"/>
      <c r="C53" s="30"/>
      <c r="D53" s="30"/>
      <c r="E53" s="31" t="s">
        <v>1036</v>
      </c>
      <c r="F53" s="12" t="s">
        <v>1037</v>
      </c>
    </row>
    <row r="54" spans="2:11">
      <c r="B54" s="29"/>
      <c r="C54" s="30"/>
      <c r="D54" s="30"/>
      <c r="E54" s="31" t="s">
        <v>997</v>
      </c>
      <c r="F54" s="12" t="s">
        <v>1038</v>
      </c>
    </row>
    <row r="56" spans="2:11">
      <c r="D56" s="29"/>
      <c r="E56" s="31" t="s">
        <v>999</v>
      </c>
      <c r="F56" s="21">
        <f>VLOOKUP(F53,C47:F51,MATCH(F54,D46:F46,0)+1,FALSE)</f>
        <v>69</v>
      </c>
    </row>
    <row r="57" spans="2:11">
      <c r="F57" s="35" t="s">
        <v>1039</v>
      </c>
    </row>
    <row r="59" spans="2:11" ht="13.5" thickBot="1">
      <c r="B59" s="5" t="s">
        <v>52</v>
      </c>
      <c r="C59" s="5"/>
      <c r="D59" s="5"/>
      <c r="E59" s="5"/>
      <c r="F59" s="5"/>
      <c r="G59" s="5"/>
      <c r="H59" s="5"/>
      <c r="I59" s="5"/>
      <c r="J59" s="5"/>
      <c r="K59" s="23"/>
    </row>
    <row r="60" spans="2:11">
      <c r="B60" s="1" t="s">
        <v>1040</v>
      </c>
    </row>
    <row r="61" spans="2:11">
      <c r="B61" s="1" t="s">
        <v>1041</v>
      </c>
    </row>
    <row r="62" spans="2:11">
      <c r="B62" s="1" t="s">
        <v>1042</v>
      </c>
    </row>
    <row r="63" spans="2:11">
      <c r="B63" s="1" t="s">
        <v>1043</v>
      </c>
    </row>
    <row r="64" spans="2:11">
      <c r="B64" s="1" t="s">
        <v>1044</v>
      </c>
    </row>
    <row r="66" spans="2:9">
      <c r="B66" s="1" t="s">
        <v>1045</v>
      </c>
    </row>
    <row r="67" spans="2:9">
      <c r="B67" s="1" t="s">
        <v>1046</v>
      </c>
    </row>
    <row r="68" spans="2:9">
      <c r="B68" s="1" t="s">
        <v>1047</v>
      </c>
    </row>
    <row r="70" spans="2:9" ht="13.5" thickBot="1">
      <c r="B70" s="28" t="s">
        <v>551</v>
      </c>
      <c r="C70" s="28" t="s">
        <v>552</v>
      </c>
      <c r="D70" s="28" t="s">
        <v>553</v>
      </c>
      <c r="F70" s="1" t="s">
        <v>542</v>
      </c>
    </row>
    <row r="71" spans="2:9" ht="14.25" thickTop="1" thickBot="1">
      <c r="B71" s="36" t="s">
        <v>1048</v>
      </c>
      <c r="C71" s="37" t="s">
        <v>549</v>
      </c>
      <c r="D71" s="38">
        <f>VLOOKUP(C71,F72:I76,MATCH(B71,G71:I71,0)+1,FALSE)</f>
        <v>50</v>
      </c>
      <c r="G71" s="39" t="s">
        <v>1048</v>
      </c>
      <c r="H71" s="40" t="s">
        <v>1049</v>
      </c>
      <c r="I71" s="41" t="s">
        <v>615</v>
      </c>
    </row>
    <row r="72" spans="2:9" ht="13.5" thickTop="1">
      <c r="B72" s="36" t="s">
        <v>615</v>
      </c>
      <c r="C72" s="37" t="s">
        <v>546</v>
      </c>
      <c r="D72" s="38">
        <f>VLOOKUP(C72,F72:I76,MATCH(B72,G71:I71,0)+1,FALSE)</f>
        <v>600</v>
      </c>
      <c r="F72" s="42" t="s">
        <v>546</v>
      </c>
      <c r="G72" s="43">
        <v>500</v>
      </c>
      <c r="H72" s="43">
        <v>450</v>
      </c>
      <c r="I72" s="44">
        <v>600</v>
      </c>
    </row>
    <row r="73" spans="2:9">
      <c r="B73" s="36" t="s">
        <v>1049</v>
      </c>
      <c r="C73" s="37" t="s">
        <v>547</v>
      </c>
      <c r="D73" s="38">
        <f>VLOOKUP(C73,F72:I76,MATCH(B73,G71:I71,0)+1,FALSE)</f>
        <v>1200</v>
      </c>
      <c r="F73" s="45" t="s">
        <v>547</v>
      </c>
      <c r="G73" s="12">
        <v>1000</v>
      </c>
      <c r="H73" s="12">
        <v>1200</v>
      </c>
      <c r="I73" s="46">
        <v>800</v>
      </c>
    </row>
    <row r="74" spans="2:9">
      <c r="B74" s="36" t="s">
        <v>615</v>
      </c>
      <c r="C74" s="37" t="s">
        <v>548</v>
      </c>
      <c r="D74" s="38">
        <f>VLOOKUP(C74,F72:I76,MATCH(B74,G71:I71,0)+1,FALSE)</f>
        <v>275</v>
      </c>
      <c r="F74" s="45" t="s">
        <v>548</v>
      </c>
      <c r="G74" s="12">
        <v>250</v>
      </c>
      <c r="H74" s="12">
        <v>350</v>
      </c>
      <c r="I74" s="46">
        <v>275</v>
      </c>
    </row>
    <row r="75" spans="2:9">
      <c r="B75" s="36" t="s">
        <v>1049</v>
      </c>
      <c r="C75" s="37" t="s">
        <v>549</v>
      </c>
      <c r="D75" s="38">
        <f>VLOOKUP(C75,F72:I76,MATCH(B75,G71:I71,0)+1,FALSE)</f>
        <v>70</v>
      </c>
      <c r="F75" s="45" t="s">
        <v>549</v>
      </c>
      <c r="G75" s="12">
        <v>50</v>
      </c>
      <c r="H75" s="12">
        <v>70</v>
      </c>
      <c r="I75" s="46">
        <v>45</v>
      </c>
    </row>
    <row r="76" spans="2:9" ht="13.5" thickBot="1">
      <c r="B76" s="36" t="s">
        <v>1049</v>
      </c>
      <c r="C76" s="37" t="s">
        <v>550</v>
      </c>
      <c r="D76" s="38">
        <f>VLOOKUP(C76,F72:I76,MATCH(B76,G71:I71,0)+1,FALSE)</f>
        <v>290</v>
      </c>
      <c r="F76" s="47" t="s">
        <v>550</v>
      </c>
      <c r="G76" s="48">
        <v>300</v>
      </c>
      <c r="H76" s="48">
        <v>290</v>
      </c>
      <c r="I76" s="49">
        <v>310</v>
      </c>
    </row>
    <row r="77" spans="2:9" ht="13.5" thickTop="1">
      <c r="B77" s="36" t="s">
        <v>1048</v>
      </c>
      <c r="C77" s="37" t="s">
        <v>546</v>
      </c>
      <c r="D77" s="38">
        <f>VLOOKUP(C77,F72:I76,MATCH(B77,G71:I71,0)+1,FALSE)</f>
        <v>500</v>
      </c>
    </row>
    <row r="78" spans="2:9">
      <c r="B78" s="36" t="s">
        <v>1049</v>
      </c>
      <c r="C78" s="37" t="s">
        <v>547</v>
      </c>
      <c r="D78" s="38">
        <f>VLOOKUP(C78,F72:I76,MATCH(B78,G71:I71,0)+1,FALSE)</f>
        <v>1200</v>
      </c>
    </row>
    <row r="79" spans="2:9">
      <c r="D79" s="6" t="s">
        <v>1050</v>
      </c>
    </row>
    <row r="82" spans="2:11" ht="13.5" thickBot="1">
      <c r="B82" s="5" t="s">
        <v>684</v>
      </c>
      <c r="C82" s="5"/>
      <c r="D82" s="5"/>
      <c r="E82" s="5"/>
      <c r="F82" s="5"/>
      <c r="G82" s="5"/>
      <c r="H82" s="5"/>
      <c r="I82" s="5"/>
      <c r="J82" s="5"/>
      <c r="K82" s="23"/>
    </row>
    <row r="83" spans="2:11">
      <c r="B83" s="1" t="s">
        <v>1051</v>
      </c>
    </row>
    <row r="84" spans="2:11">
      <c r="B84" s="1" t="s">
        <v>1052</v>
      </c>
    </row>
    <row r="85" spans="2:11">
      <c r="B85" s="1" t="s">
        <v>1053</v>
      </c>
    </row>
    <row r="86" spans="2:11">
      <c r="B86" s="1" t="s">
        <v>1054</v>
      </c>
    </row>
    <row r="88" spans="2:11">
      <c r="B88" s="1" t="s">
        <v>1055</v>
      </c>
    </row>
    <row r="89" spans="2:11">
      <c r="B89" s="1" t="s">
        <v>1056</v>
      </c>
    </row>
    <row r="91" spans="2:11">
      <c r="B91" s="1" t="s">
        <v>1057</v>
      </c>
    </row>
    <row r="92" spans="2:11">
      <c r="B92" s="1" t="s">
        <v>1058</v>
      </c>
    </row>
    <row r="93" spans="2:11">
      <c r="B93" s="1" t="s">
        <v>1059</v>
      </c>
    </row>
    <row r="94" spans="2:11">
      <c r="B94" s="1" t="s">
        <v>1060</v>
      </c>
    </row>
    <row r="95" spans="2:11">
      <c r="B95" s="1" t="s">
        <v>1061</v>
      </c>
    </row>
    <row r="96" spans="2:11">
      <c r="B96" s="1" t="s">
        <v>1062</v>
      </c>
    </row>
    <row r="98" spans="2:9">
      <c r="B98" s="1" t="s">
        <v>1063</v>
      </c>
    </row>
    <row r="99" spans="2:9">
      <c r="B99" s="1" t="s">
        <v>1064</v>
      </c>
    </row>
    <row r="100" spans="2:9">
      <c r="B100" s="1" t="s">
        <v>1065</v>
      </c>
    </row>
    <row r="101" spans="2:9">
      <c r="B101" s="1" t="s">
        <v>1066</v>
      </c>
    </row>
    <row r="102" spans="2:9">
      <c r="B102" s="1" t="s">
        <v>1067</v>
      </c>
    </row>
    <row r="103" spans="2:9">
      <c r="B103" s="1" t="s">
        <v>1068</v>
      </c>
    </row>
    <row r="104" spans="2:9">
      <c r="B104" s="1" t="s">
        <v>1069</v>
      </c>
    </row>
    <row r="105" spans="2:9">
      <c r="B105" s="1" t="s">
        <v>1070</v>
      </c>
    </row>
    <row r="106" spans="2:9">
      <c r="B106" s="1" t="s">
        <v>1071</v>
      </c>
    </row>
    <row r="107" spans="2:9">
      <c r="B107" s="1" t="s">
        <v>1072</v>
      </c>
    </row>
    <row r="109" spans="2:9" ht="13.5" thickBot="1">
      <c r="G109" s="50" t="s">
        <v>1073</v>
      </c>
      <c r="H109" s="50"/>
      <c r="I109" s="50"/>
    </row>
    <row r="110" spans="2:9" ht="14.25" thickTop="1" thickBot="1">
      <c r="C110" s="50" t="s">
        <v>1074</v>
      </c>
      <c r="D110" s="50"/>
      <c r="G110" s="51" t="s">
        <v>1075</v>
      </c>
      <c r="H110" s="52" t="s">
        <v>1076</v>
      </c>
      <c r="I110" s="53" t="s">
        <v>1077</v>
      </c>
    </row>
    <row r="111" spans="2:9" ht="13.5" thickTop="1">
      <c r="C111" s="54" t="s">
        <v>1075</v>
      </c>
      <c r="D111" s="55">
        <v>2</v>
      </c>
      <c r="F111" s="56">
        <v>1</v>
      </c>
      <c r="G111" s="57">
        <v>0</v>
      </c>
      <c r="H111" s="57">
        <v>0</v>
      </c>
      <c r="I111" s="58">
        <v>0</v>
      </c>
    </row>
    <row r="112" spans="2:9">
      <c r="C112" s="59" t="s">
        <v>1076</v>
      </c>
      <c r="D112" s="60">
        <v>1</v>
      </c>
      <c r="F112" s="61">
        <v>100</v>
      </c>
      <c r="G112" s="62">
        <v>0.06</v>
      </c>
      <c r="H112" s="62">
        <v>0.03</v>
      </c>
      <c r="I112" s="63">
        <v>0.12</v>
      </c>
    </row>
    <row r="113" spans="2:9" ht="13.5" thickBot="1">
      <c r="C113" s="64" t="s">
        <v>1077</v>
      </c>
      <c r="D113" s="65">
        <v>3</v>
      </c>
      <c r="F113" s="66">
        <v>300</v>
      </c>
      <c r="G113" s="67">
        <v>0.08</v>
      </c>
      <c r="H113" s="67">
        <v>0.05</v>
      </c>
      <c r="I113" s="68">
        <v>0.15</v>
      </c>
    </row>
    <row r="114" spans="2:9" ht="13.5" thickTop="1"/>
    <row r="116" spans="2:9">
      <c r="C116" s="50" t="s">
        <v>1078</v>
      </c>
      <c r="D116" s="50"/>
      <c r="E116" s="50"/>
      <c r="F116" s="50"/>
      <c r="G116" s="50"/>
    </row>
    <row r="117" spans="2:9">
      <c r="C117" s="28" t="s">
        <v>1079</v>
      </c>
      <c r="D117" s="28" t="s">
        <v>573</v>
      </c>
      <c r="E117" s="28" t="s">
        <v>1080</v>
      </c>
      <c r="F117" s="28" t="s">
        <v>1081</v>
      </c>
      <c r="G117" s="28" t="s">
        <v>679</v>
      </c>
    </row>
    <row r="118" spans="2:9">
      <c r="C118" s="37" t="s">
        <v>1075</v>
      </c>
      <c r="D118" s="36">
        <v>100</v>
      </c>
      <c r="E118" s="69">
        <f>VLOOKUP(C118,C111:D113,2,FALSE)</f>
        <v>2</v>
      </c>
      <c r="F118" s="70">
        <f>VLOOKUP(D118,F111:I113,MATCH(C118,G110:I110,0)+1,TRUE)</f>
        <v>0.06</v>
      </c>
      <c r="G118" s="69">
        <f t="shared" ref="G118:G123" si="0">(D118*E118)-(D118*E118*F118)</f>
        <v>188</v>
      </c>
    </row>
    <row r="119" spans="2:9">
      <c r="C119" s="37" t="s">
        <v>1076</v>
      </c>
      <c r="D119" s="36">
        <v>200</v>
      </c>
      <c r="E119" s="69">
        <f>VLOOKUP(C119,C111:D113,2,FALSE)</f>
        <v>1</v>
      </c>
      <c r="F119" s="70">
        <f>VLOOKUP(D119,F111:I113,MATCH(C119,G110:I110,0)+1,TRUE)</f>
        <v>0.03</v>
      </c>
      <c r="G119" s="69">
        <f t="shared" si="0"/>
        <v>194</v>
      </c>
    </row>
    <row r="120" spans="2:9">
      <c r="C120" s="37" t="s">
        <v>1077</v>
      </c>
      <c r="D120" s="36">
        <v>150</v>
      </c>
      <c r="E120" s="69">
        <f>VLOOKUP(C120,C111:D113,2,FALSE)</f>
        <v>3</v>
      </c>
      <c r="F120" s="70">
        <f>VLOOKUP(D120,F111:I113,MATCH(C120,G110:I110,0)+1,TRUE)</f>
        <v>0.12</v>
      </c>
      <c r="G120" s="69">
        <f t="shared" si="0"/>
        <v>396</v>
      </c>
    </row>
    <row r="121" spans="2:9">
      <c r="C121" s="37" t="s">
        <v>1075</v>
      </c>
      <c r="D121" s="36">
        <v>225</v>
      </c>
      <c r="E121" s="69">
        <f>VLOOKUP(C121,C111:D113,2,FALSE)</f>
        <v>2</v>
      </c>
      <c r="F121" s="70">
        <f>VLOOKUP(D121,F111:I113,MATCH(C121,G110:I110,0)+1,TRUE)</f>
        <v>0.06</v>
      </c>
      <c r="G121" s="69">
        <f t="shared" si="0"/>
        <v>423</v>
      </c>
    </row>
    <row r="122" spans="2:9">
      <c r="C122" s="37" t="s">
        <v>1076</v>
      </c>
      <c r="D122" s="36">
        <v>50</v>
      </c>
      <c r="E122" s="69">
        <f>VLOOKUP(C122,C111:D113,2,FALSE)</f>
        <v>1</v>
      </c>
      <c r="F122" s="70">
        <f>VLOOKUP(D122,F111:I113,MATCH(C122,G110:I110,0)+1,TRUE)</f>
        <v>0</v>
      </c>
      <c r="G122" s="69">
        <f t="shared" si="0"/>
        <v>50</v>
      </c>
    </row>
    <row r="123" spans="2:9">
      <c r="C123" s="37" t="s">
        <v>1077</v>
      </c>
      <c r="D123" s="36">
        <v>500</v>
      </c>
      <c r="E123" s="69">
        <f>VLOOKUP(C123,C111:D113,2,FALSE)</f>
        <v>3</v>
      </c>
      <c r="F123" s="70">
        <f>VLOOKUP(D123,F111:I113,MATCH(C123,G110:I110,0)+1,TRUE)</f>
        <v>0.15</v>
      </c>
      <c r="G123" s="69">
        <f t="shared" si="0"/>
        <v>1275</v>
      </c>
    </row>
    <row r="125" spans="2:9">
      <c r="B125" s="1" t="s">
        <v>1082</v>
      </c>
    </row>
    <row r="126" spans="2:9">
      <c r="B126" s="1" t="s">
        <v>1080</v>
      </c>
      <c r="C126" s="6" t="s">
        <v>1083</v>
      </c>
    </row>
    <row r="127" spans="2:9">
      <c r="B127" s="1" t="s">
        <v>1081</v>
      </c>
      <c r="C127" s="6" t="s">
        <v>1084</v>
      </c>
    </row>
    <row r="128" spans="2:9">
      <c r="B128" s="1" t="s">
        <v>679</v>
      </c>
      <c r="C128" s="6" t="s">
        <v>1085</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e">
        <f ca="1">MID(CELL("filename",A1),FIND("]",CELL("filename",A1))+1,256)</f>
        <v>#VALUE!</v>
      </c>
      <c r="B1" s="4"/>
      <c r="C1" s="4"/>
      <c r="D1" s="4"/>
      <c r="E1" s="4"/>
      <c r="F1" s="4"/>
      <c r="G1" s="4"/>
      <c r="H1" s="4"/>
      <c r="I1" s="4"/>
      <c r="J1" s="4"/>
      <c r="K1" s="25"/>
    </row>
    <row r="2" spans="1:13" ht="13.5" thickTop="1"/>
    <row r="10" spans="1:13">
      <c r="A10" s="2"/>
    </row>
    <row r="11" spans="1:13" ht="25.5">
      <c r="K11" s="71" t="s">
        <v>1011</v>
      </c>
      <c r="L11" s="71" t="s">
        <v>11</v>
      </c>
      <c r="M11" s="71" t="s">
        <v>49</v>
      </c>
    </row>
    <row r="12" spans="1:13" ht="25.5">
      <c r="K12" s="33" t="s">
        <v>1013</v>
      </c>
      <c r="L12" s="34" t="s">
        <v>1086</v>
      </c>
      <c r="M12" s="33" t="s">
        <v>1015</v>
      </c>
    </row>
    <row r="13" spans="1:13" ht="25.5">
      <c r="K13" s="33" t="s">
        <v>1017</v>
      </c>
      <c r="L13" s="34" t="s">
        <v>1087</v>
      </c>
      <c r="M13" s="33" t="s">
        <v>1019</v>
      </c>
    </row>
    <row r="14" spans="1:13">
      <c r="K14" s="33" t="s">
        <v>1020</v>
      </c>
      <c r="L14" s="34" t="s">
        <v>1088</v>
      </c>
      <c r="M14" s="33">
        <v>18</v>
      </c>
    </row>
    <row r="15" spans="1:13" ht="25.5">
      <c r="K15" s="33" t="s">
        <v>1017</v>
      </c>
      <c r="L15" s="34" t="s">
        <v>1089</v>
      </c>
      <c r="M15" s="33"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35"/>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e">
        <f ca="1">MID(CELL("filename",A1),FIND("]",CELL("filename",A1))+1,256)</f>
        <v>#VALUE!</v>
      </c>
      <c r="B1" s="4"/>
      <c r="C1" s="4"/>
      <c r="D1" s="4"/>
      <c r="E1" s="4"/>
      <c r="F1" s="4"/>
      <c r="G1" s="4"/>
      <c r="H1" s="4"/>
      <c r="I1" s="4"/>
      <c r="J1" s="4"/>
    </row>
    <row r="2" spans="1:10" ht="13.5" thickTop="1">
      <c r="B2" s="8" t="s">
        <v>634</v>
      </c>
    </row>
    <row r="4" spans="1:10">
      <c r="B4" s="9" t="s">
        <v>1090</v>
      </c>
      <c r="C4" s="10" t="s">
        <v>648</v>
      </c>
      <c r="D4" s="10" t="s">
        <v>649</v>
      </c>
    </row>
    <row r="5" spans="1:10">
      <c r="B5" s="11" t="s">
        <v>1091</v>
      </c>
      <c r="C5" s="12">
        <v>10</v>
      </c>
      <c r="D5" s="12">
        <v>30</v>
      </c>
    </row>
    <row r="6" spans="1:10">
      <c r="B6" s="11" t="s">
        <v>1092</v>
      </c>
      <c r="C6" s="12">
        <v>40</v>
      </c>
      <c r="D6" s="12">
        <v>50</v>
      </c>
      <c r="E6" s="131"/>
      <c r="F6" s="131"/>
      <c r="G6" s="131"/>
      <c r="H6" s="131"/>
      <c r="I6" s="131"/>
    </row>
    <row r="7" spans="1:10">
      <c r="B7" s="11" t="s">
        <v>1093</v>
      </c>
      <c r="C7" s="12">
        <v>70</v>
      </c>
      <c r="D7" s="12">
        <v>80</v>
      </c>
      <c r="E7" s="131"/>
      <c r="F7" s="131"/>
      <c r="G7" s="131"/>
      <c r="H7" s="131"/>
      <c r="I7" s="131"/>
    </row>
    <row r="8" spans="1:10" s="13" customFormat="1">
      <c r="B8" s="14"/>
      <c r="C8" s="15"/>
      <c r="D8" s="15"/>
      <c r="E8" s="132"/>
      <c r="F8" s="132"/>
      <c r="G8" s="132"/>
      <c r="H8" s="132"/>
      <c r="I8" s="132"/>
    </row>
    <row r="9" spans="1:10">
      <c r="E9" s="131"/>
      <c r="F9" s="132"/>
      <c r="G9" s="131"/>
      <c r="H9" s="131"/>
      <c r="I9" s="131"/>
    </row>
    <row r="10" spans="1:10">
      <c r="B10" s="17" t="s">
        <v>1094</v>
      </c>
      <c r="C10" s="16"/>
      <c r="D10" s="16"/>
      <c r="E10" s="132"/>
      <c r="F10" s="132"/>
      <c r="G10" s="131"/>
      <c r="H10" s="131"/>
      <c r="I10" s="131"/>
    </row>
    <row r="11" spans="1:10">
      <c r="B11" s="16"/>
      <c r="C11" s="16"/>
      <c r="D11" s="16"/>
      <c r="E11" s="16"/>
      <c r="F11" s="16"/>
    </row>
    <row r="12" spans="1:10">
      <c r="B12" s="18" t="str">
        <f t="array" ref="B12:E12">TRANSPOSE(B4:B7)</f>
        <v>Cust ID</v>
      </c>
      <c r="C12" s="19" t="str">
        <v>A001</v>
      </c>
      <c r="D12" s="19" t="str">
        <v>A002</v>
      </c>
      <c r="E12" s="19" t="str">
        <v>A003</v>
      </c>
      <c r="F12" s="20"/>
    </row>
    <row r="13" spans="1:10">
      <c r="B13" s="18" t="str">
        <f t="array" ref="B13:E13">TRANSPOSE(C4:C7)</f>
        <v>Jan</v>
      </c>
      <c r="C13" s="21">
        <v>10</v>
      </c>
      <c r="D13" s="21">
        <v>40</v>
      </c>
      <c r="E13" s="21">
        <v>70</v>
      </c>
      <c r="F13" s="20"/>
    </row>
    <row r="14" spans="1:10">
      <c r="B14" s="18" t="str">
        <f t="array" ref="B14:E14">TRANSPOSE(D4:D7)</f>
        <v>Feb</v>
      </c>
      <c r="C14" s="21">
        <v>30</v>
      </c>
      <c r="D14" s="21">
        <v>50</v>
      </c>
      <c r="E14" s="21">
        <v>80</v>
      </c>
      <c r="F14" s="20"/>
    </row>
    <row r="15" spans="1:10">
      <c r="B15" s="16"/>
      <c r="C15" s="16"/>
      <c r="D15" s="16"/>
      <c r="E15" s="16"/>
      <c r="F15" s="16"/>
    </row>
    <row r="16" spans="1:10">
      <c r="B16" s="16"/>
      <c r="C16" s="16"/>
      <c r="D16" s="22" t="s">
        <v>1095</v>
      </c>
      <c r="E16" s="16"/>
      <c r="F16" s="16"/>
    </row>
    <row r="17" spans="1:7">
      <c r="B17" s="16"/>
      <c r="C17" s="16"/>
      <c r="D17" s="16"/>
      <c r="E17" s="16"/>
      <c r="F17" s="16"/>
      <c r="G17" s="16"/>
    </row>
    <row r="18" spans="1:7">
      <c r="B18" s="23" t="s">
        <v>1001</v>
      </c>
      <c r="C18" s="16"/>
      <c r="D18" s="16"/>
      <c r="E18" s="16"/>
      <c r="F18" s="16"/>
      <c r="G18" s="16"/>
    </row>
    <row r="19" spans="1:7">
      <c r="B19" s="17" t="s">
        <v>1096</v>
      </c>
      <c r="C19" s="16"/>
      <c r="D19" s="16"/>
      <c r="E19" s="16"/>
      <c r="F19" s="16"/>
      <c r="G19" s="16"/>
    </row>
    <row r="20" spans="1:7">
      <c r="B20" s="16" t="s">
        <v>639</v>
      </c>
      <c r="C20" s="16"/>
      <c r="D20" s="16"/>
      <c r="E20" s="16"/>
      <c r="F20" s="16"/>
      <c r="G20" s="16"/>
    </row>
    <row r="21" spans="1:7">
      <c r="B21" s="16" t="s">
        <v>640</v>
      </c>
      <c r="C21" s="16"/>
      <c r="D21" s="16"/>
      <c r="E21" s="16"/>
      <c r="F21" s="16"/>
      <c r="G21" s="16"/>
    </row>
    <row r="22" spans="1:7">
      <c r="B22" s="16" t="s">
        <v>641</v>
      </c>
      <c r="C22" s="16"/>
      <c r="D22" s="16"/>
      <c r="E22" s="16"/>
      <c r="F22" s="16"/>
      <c r="G22" s="16"/>
    </row>
    <row r="23" spans="1:7">
      <c r="B23" s="16" t="s">
        <v>642</v>
      </c>
      <c r="C23" s="16"/>
      <c r="D23" s="16"/>
      <c r="E23" s="16"/>
      <c r="F23" s="16"/>
      <c r="G23" s="16"/>
    </row>
    <row r="24" spans="1:7">
      <c r="B24" s="16" t="s">
        <v>643</v>
      </c>
      <c r="C24" s="16"/>
      <c r="D24" s="16"/>
      <c r="E24" s="16"/>
      <c r="F24" s="16"/>
      <c r="G24" s="16"/>
    </row>
    <row r="25" spans="1:7">
      <c r="B25" s="16" t="s">
        <v>644</v>
      </c>
      <c r="C25" s="16"/>
      <c r="D25" s="16"/>
      <c r="E25" s="16"/>
      <c r="F25" s="16"/>
      <c r="G25" s="16"/>
    </row>
    <row r="26" spans="1:7">
      <c r="B26" s="16" t="s">
        <v>645</v>
      </c>
      <c r="C26" s="16"/>
      <c r="D26" s="16"/>
      <c r="E26" s="16"/>
      <c r="F26" s="16"/>
      <c r="G26" s="16"/>
    </row>
    <row r="27" spans="1:7">
      <c r="C27" s="16"/>
      <c r="D27" s="16"/>
      <c r="E27" s="16"/>
      <c r="F27" s="16"/>
      <c r="G27" s="16"/>
    </row>
    <row r="28" spans="1:7">
      <c r="B28" s="23" t="s">
        <v>3</v>
      </c>
      <c r="C28" s="16"/>
      <c r="D28" s="16"/>
      <c r="E28" s="16"/>
      <c r="F28" s="16"/>
      <c r="G28" s="16"/>
    </row>
    <row r="29" spans="1:7">
      <c r="B29" s="24" t="s">
        <v>1097</v>
      </c>
      <c r="C29" s="16"/>
      <c r="D29" s="16"/>
      <c r="E29" s="16"/>
      <c r="F29" s="16"/>
      <c r="G29" s="16"/>
    </row>
    <row r="30" spans="1:7">
      <c r="B30" s="16"/>
      <c r="C30" s="16"/>
      <c r="D30" s="16"/>
      <c r="E30" s="16"/>
      <c r="F30" s="16"/>
      <c r="G30" s="16"/>
    </row>
    <row r="31" spans="1:7">
      <c r="A31" s="16"/>
      <c r="B31" s="16"/>
      <c r="C31" s="16"/>
      <c r="D31" s="16"/>
      <c r="E31" s="16"/>
      <c r="F31" s="16"/>
    </row>
    <row r="32" spans="1:7">
      <c r="A32" s="16"/>
      <c r="B32" s="16"/>
      <c r="C32" s="16"/>
      <c r="D32" s="16"/>
      <c r="E32" s="16"/>
      <c r="F32" s="16"/>
    </row>
    <row r="33" spans="1:6">
      <c r="A33" s="16"/>
      <c r="B33" s="16"/>
      <c r="C33" s="16"/>
      <c r="D33" s="16"/>
      <c r="E33" s="16"/>
      <c r="F33" s="16"/>
    </row>
    <row r="34" spans="1:6">
      <c r="A34" s="16"/>
      <c r="B34" s="16"/>
      <c r="C34" s="16"/>
      <c r="D34" s="16"/>
      <c r="E34" s="16"/>
      <c r="F34" s="16"/>
    </row>
    <row r="35" spans="1:6">
      <c r="A35" s="16"/>
      <c r="B35" s="16"/>
      <c r="C35" s="16"/>
      <c r="D35" s="16"/>
      <c r="E35" s="16"/>
      <c r="F35" s="16"/>
    </row>
    <row r="36" spans="1:6">
      <c r="A36" s="16"/>
      <c r="B36" s="16"/>
      <c r="C36" s="16"/>
      <c r="D36" s="16"/>
      <c r="E36" s="16"/>
      <c r="F36" s="16"/>
    </row>
    <row r="37" spans="1:6">
      <c r="A37" s="16"/>
      <c r="B37" s="16"/>
      <c r="C37" s="16"/>
      <c r="D37" s="16"/>
      <c r="E37" s="16"/>
      <c r="F37" s="16"/>
    </row>
    <row r="38" spans="1:6">
      <c r="A38" s="16"/>
      <c r="B38" s="16"/>
      <c r="C38" s="16"/>
      <c r="D38" s="16"/>
      <c r="E38" s="16"/>
      <c r="F38" s="16"/>
    </row>
    <row r="39" spans="1:6">
      <c r="A39" s="16"/>
      <c r="B39" s="16"/>
      <c r="C39" s="16"/>
      <c r="D39" s="16"/>
      <c r="E39" s="16"/>
      <c r="F39" s="16"/>
    </row>
    <row r="40" spans="1:6">
      <c r="A40" s="16"/>
      <c r="B40" s="16"/>
      <c r="C40" s="16"/>
      <c r="D40" s="16"/>
      <c r="E40" s="16"/>
      <c r="F40" s="16"/>
    </row>
    <row r="41" spans="1:6">
      <c r="A41" s="16"/>
      <c r="B41" s="16"/>
      <c r="C41" s="16"/>
      <c r="D41" s="16"/>
      <c r="E41" s="16"/>
      <c r="F41" s="16"/>
    </row>
    <row r="42" spans="1:6">
      <c r="A42" s="16"/>
      <c r="B42" s="16"/>
      <c r="C42" s="16"/>
      <c r="D42" s="16"/>
      <c r="E42" s="16"/>
      <c r="F42" s="16"/>
    </row>
    <row r="43" spans="1:6">
      <c r="A43" s="16"/>
      <c r="B43" s="16"/>
      <c r="C43" s="16"/>
      <c r="D43" s="16"/>
      <c r="E43" s="16"/>
      <c r="F43" s="16"/>
    </row>
    <row r="44" spans="1:6">
      <c r="A44" s="16"/>
      <c r="B44" s="16"/>
      <c r="C44" s="16"/>
      <c r="D44" s="16"/>
      <c r="E44" s="16"/>
      <c r="F44" s="16"/>
    </row>
    <row r="45" spans="1:6">
      <c r="A45" s="16"/>
      <c r="B45" s="16"/>
      <c r="C45" s="16"/>
      <c r="D45" s="16"/>
      <c r="E45" s="16"/>
      <c r="F45" s="16"/>
    </row>
    <row r="46" spans="1:6">
      <c r="A46" s="16"/>
      <c r="B46" s="16"/>
      <c r="C46" s="16"/>
      <c r="D46" s="16"/>
      <c r="E46" s="16"/>
      <c r="F46" s="16"/>
    </row>
    <row r="47" spans="1:6">
      <c r="A47" s="16"/>
      <c r="B47" s="16"/>
      <c r="C47" s="16"/>
      <c r="D47" s="16"/>
      <c r="E47" s="16"/>
      <c r="F47" s="16"/>
    </row>
    <row r="48" spans="1:6">
      <c r="A48" s="16"/>
      <c r="B48" s="16"/>
      <c r="C48" s="16"/>
      <c r="D48" s="16"/>
      <c r="E48" s="16"/>
      <c r="F48" s="16"/>
    </row>
    <row r="49" spans="1:6">
      <c r="A49" s="16"/>
      <c r="B49" s="16"/>
      <c r="C49" s="16"/>
      <c r="D49" s="16"/>
      <c r="E49" s="16"/>
      <c r="F49" s="16"/>
    </row>
    <row r="50" spans="1:6">
      <c r="A50" s="16"/>
      <c r="B50" s="16"/>
      <c r="C50" s="16"/>
      <c r="D50" s="16"/>
      <c r="E50" s="16"/>
      <c r="F50" s="16"/>
    </row>
    <row r="51" spans="1:6">
      <c r="A51" s="16"/>
      <c r="B51" s="16"/>
      <c r="C51" s="16"/>
      <c r="D51" s="16"/>
      <c r="E51" s="16"/>
      <c r="F51" s="16"/>
    </row>
    <row r="52" spans="1:6">
      <c r="A52" s="16"/>
      <c r="B52" s="16"/>
      <c r="C52" s="16"/>
      <c r="D52" s="16"/>
      <c r="E52" s="16"/>
      <c r="F52" s="16"/>
    </row>
    <row r="53" spans="1:6">
      <c r="A53" s="16"/>
      <c r="B53" s="16"/>
      <c r="C53" s="16"/>
      <c r="D53" s="16"/>
      <c r="E53" s="16"/>
      <c r="F53" s="16"/>
    </row>
    <row r="54" spans="1:6">
      <c r="A54" s="16"/>
      <c r="B54" s="16"/>
      <c r="C54" s="16"/>
      <c r="D54" s="16"/>
      <c r="E54" s="16"/>
      <c r="F54" s="16"/>
    </row>
    <row r="55" spans="1:6">
      <c r="A55" s="16"/>
      <c r="B55" s="16"/>
      <c r="C55" s="16"/>
      <c r="D55" s="16"/>
      <c r="E55" s="16"/>
      <c r="F55" s="16"/>
    </row>
    <row r="56" spans="1:6">
      <c r="A56" s="16"/>
      <c r="B56" s="16"/>
      <c r="C56" s="16"/>
      <c r="D56" s="16"/>
      <c r="E56" s="16"/>
      <c r="F56" s="16"/>
    </row>
    <row r="57" spans="1:6">
      <c r="A57" s="16"/>
      <c r="B57" s="16"/>
      <c r="C57" s="16"/>
      <c r="D57" s="16"/>
      <c r="E57" s="16"/>
      <c r="F57" s="16"/>
    </row>
    <row r="58" spans="1:6">
      <c r="A58" s="16"/>
      <c r="B58" s="16"/>
      <c r="C58" s="16"/>
      <c r="D58" s="16"/>
      <c r="E58" s="16"/>
      <c r="F58" s="16"/>
    </row>
    <row r="59" spans="1:6">
      <c r="A59" s="16"/>
      <c r="B59" s="16"/>
      <c r="C59" s="16"/>
      <c r="D59" s="16"/>
      <c r="E59" s="16"/>
      <c r="F59" s="16"/>
    </row>
    <row r="60" spans="1:6">
      <c r="A60" s="16"/>
      <c r="B60" s="16"/>
      <c r="C60" s="16"/>
      <c r="D60" s="16"/>
      <c r="E60" s="16"/>
      <c r="F60" s="16"/>
    </row>
    <row r="61" spans="1:6">
      <c r="A61" s="16"/>
      <c r="B61" s="16"/>
      <c r="C61" s="16"/>
      <c r="D61" s="16"/>
      <c r="E61" s="16"/>
      <c r="F61" s="16"/>
    </row>
    <row r="62" spans="1:6">
      <c r="A62" s="16"/>
      <c r="B62" s="16"/>
      <c r="C62" s="16"/>
      <c r="D62" s="16"/>
      <c r="E62" s="16"/>
      <c r="F62" s="16"/>
    </row>
    <row r="63" spans="1:6">
      <c r="A63" s="16"/>
      <c r="B63" s="16"/>
      <c r="C63" s="16"/>
      <c r="D63" s="16"/>
      <c r="E63" s="16"/>
      <c r="F63" s="16"/>
    </row>
    <row r="64" spans="1:6">
      <c r="A64" s="16"/>
      <c r="B64" s="16"/>
      <c r="C64" s="16"/>
      <c r="D64" s="16"/>
      <c r="E64" s="16"/>
      <c r="F64" s="16"/>
    </row>
    <row r="65" spans="1:6">
      <c r="A65" s="16"/>
      <c r="B65" s="16"/>
      <c r="C65" s="16"/>
      <c r="D65" s="16"/>
      <c r="E65" s="16"/>
      <c r="F65" s="16"/>
    </row>
    <row r="66" spans="1:6">
      <c r="A66" s="16"/>
      <c r="B66" s="16"/>
      <c r="C66" s="16"/>
      <c r="D66" s="16"/>
      <c r="E66" s="16"/>
      <c r="F66" s="16"/>
    </row>
    <row r="67" spans="1:6">
      <c r="A67" s="16"/>
      <c r="B67" s="16"/>
      <c r="C67" s="16"/>
      <c r="D67" s="16"/>
      <c r="E67" s="16"/>
      <c r="F67" s="16"/>
    </row>
    <row r="68" spans="1:6">
      <c r="A68" s="16"/>
      <c r="B68" s="16"/>
      <c r="C68" s="16"/>
      <c r="D68" s="16"/>
      <c r="E68" s="16"/>
      <c r="F68" s="16"/>
    </row>
    <row r="69" spans="1:6">
      <c r="A69" s="16"/>
      <c r="B69" s="16"/>
      <c r="C69" s="16"/>
      <c r="D69" s="16"/>
      <c r="E69" s="16"/>
      <c r="F69" s="16"/>
    </row>
    <row r="70" spans="1:6">
      <c r="A70" s="16"/>
      <c r="B70" s="16"/>
      <c r="C70" s="16"/>
      <c r="D70" s="16"/>
      <c r="E70" s="16"/>
      <c r="F70" s="16"/>
    </row>
    <row r="71" spans="1:6">
      <c r="A71" s="16"/>
      <c r="B71" s="16"/>
      <c r="C71" s="16"/>
      <c r="D71" s="16"/>
      <c r="E71" s="16"/>
      <c r="F71" s="16"/>
    </row>
    <row r="72" spans="1:6">
      <c r="A72" s="16"/>
      <c r="B72" s="16"/>
      <c r="C72" s="16"/>
      <c r="D72" s="16"/>
      <c r="E72" s="16"/>
      <c r="F72" s="16"/>
    </row>
    <row r="73" spans="1:6">
      <c r="A73" s="16"/>
      <c r="B73" s="16"/>
      <c r="C73" s="16"/>
      <c r="D73" s="16"/>
      <c r="E73" s="16"/>
      <c r="F73" s="16"/>
    </row>
    <row r="74" spans="1:6">
      <c r="A74" s="16"/>
      <c r="B74" s="16"/>
      <c r="C74" s="16"/>
      <c r="D74" s="16"/>
      <c r="E74" s="16"/>
      <c r="F74" s="16"/>
    </row>
    <row r="75" spans="1:6">
      <c r="A75" s="16"/>
      <c r="B75" s="16"/>
      <c r="C75" s="16"/>
      <c r="D75" s="16"/>
      <c r="E75" s="16"/>
      <c r="F75" s="16"/>
    </row>
    <row r="76" spans="1:6">
      <c r="A76" s="16"/>
      <c r="B76" s="16"/>
      <c r="C76" s="16"/>
      <c r="D76" s="16"/>
      <c r="E76" s="16"/>
      <c r="F76" s="16"/>
    </row>
    <row r="77" spans="1:6">
      <c r="A77" s="16"/>
      <c r="B77" s="16"/>
      <c r="C77" s="16"/>
      <c r="D77" s="16"/>
      <c r="E77" s="16"/>
      <c r="F77" s="16"/>
    </row>
    <row r="78" spans="1:6">
      <c r="A78" s="16"/>
      <c r="B78" s="16"/>
      <c r="C78" s="16"/>
      <c r="D78" s="16"/>
      <c r="E78" s="16"/>
      <c r="F78" s="16"/>
    </row>
    <row r="79" spans="1:6">
      <c r="A79" s="16"/>
      <c r="B79" s="16"/>
      <c r="C79" s="16"/>
      <c r="D79" s="16"/>
      <c r="E79" s="16"/>
      <c r="F79" s="16"/>
    </row>
    <row r="80" spans="1:6">
      <c r="A80" s="16"/>
      <c r="B80" s="16"/>
      <c r="C80" s="16"/>
      <c r="D80" s="16"/>
      <c r="E80" s="16"/>
      <c r="F80" s="16"/>
    </row>
    <row r="81" spans="1:6">
      <c r="A81" s="16"/>
      <c r="B81" s="16"/>
      <c r="C81" s="16"/>
      <c r="D81" s="16"/>
      <c r="E81" s="16"/>
      <c r="F81" s="16"/>
    </row>
    <row r="82" spans="1:6">
      <c r="A82" s="16"/>
      <c r="B82" s="16"/>
      <c r="C82" s="16"/>
      <c r="D82" s="16"/>
      <c r="E82" s="16"/>
      <c r="F82" s="16"/>
    </row>
    <row r="83" spans="1:6">
      <c r="A83" s="16"/>
      <c r="B83" s="16"/>
      <c r="C83" s="16"/>
      <c r="D83" s="16"/>
      <c r="E83" s="16"/>
      <c r="F83" s="16"/>
    </row>
    <row r="84" spans="1:6">
      <c r="A84" s="16"/>
      <c r="B84" s="16"/>
      <c r="C84" s="16"/>
      <c r="D84" s="16"/>
      <c r="E84" s="16"/>
      <c r="F84" s="16"/>
    </row>
    <row r="85" spans="1:6">
      <c r="A85" s="16"/>
      <c r="B85" s="16"/>
      <c r="C85" s="16"/>
      <c r="D85" s="16"/>
      <c r="E85" s="16"/>
      <c r="F85" s="16"/>
    </row>
    <row r="86" spans="1:6">
      <c r="A86" s="16"/>
      <c r="B86" s="16"/>
      <c r="C86" s="16"/>
      <c r="D86" s="16"/>
      <c r="E86" s="16"/>
      <c r="F86" s="16"/>
    </row>
    <row r="87" spans="1:6">
      <c r="A87" s="16"/>
      <c r="B87" s="16"/>
      <c r="C87" s="16"/>
      <c r="D87" s="16"/>
      <c r="E87" s="16"/>
      <c r="F87" s="16"/>
    </row>
    <row r="88" spans="1:6">
      <c r="A88" s="16"/>
      <c r="B88" s="16"/>
      <c r="C88" s="16"/>
      <c r="D88" s="16"/>
      <c r="E88" s="16"/>
      <c r="F88" s="16"/>
    </row>
    <row r="89" spans="1:6">
      <c r="A89" s="16"/>
      <c r="B89" s="16"/>
      <c r="C89" s="16"/>
      <c r="D89" s="16"/>
      <c r="E89" s="16"/>
      <c r="F89" s="16"/>
    </row>
    <row r="90" spans="1:6">
      <c r="A90" s="16"/>
      <c r="B90" s="16"/>
      <c r="C90" s="16"/>
      <c r="D90" s="16"/>
      <c r="E90" s="16"/>
      <c r="F90" s="16"/>
    </row>
    <row r="91" spans="1:6">
      <c r="A91" s="16"/>
      <c r="B91" s="16"/>
    </row>
    <row r="92" spans="1:6">
      <c r="A92" s="16"/>
      <c r="B92" s="16"/>
    </row>
    <row r="93" spans="1:6">
      <c r="A93" s="16"/>
      <c r="B93" s="16"/>
    </row>
    <row r="94" spans="1:6">
      <c r="A94" s="16"/>
      <c r="B94" s="16"/>
    </row>
    <row r="95" spans="1:6">
      <c r="A95" s="16"/>
      <c r="B95" s="16"/>
    </row>
    <row r="96" spans="1:6">
      <c r="A96" s="16"/>
      <c r="B96" s="16"/>
    </row>
    <row r="97" spans="1:2">
      <c r="A97" s="16"/>
      <c r="B97" s="16"/>
    </row>
    <row r="98" spans="1:2">
      <c r="A98" s="16"/>
      <c r="B98" s="16"/>
    </row>
    <row r="99" spans="1:2">
      <c r="A99" s="16"/>
      <c r="B99" s="16"/>
    </row>
    <row r="100" spans="1:2">
      <c r="A100" s="16"/>
      <c r="B100" s="16"/>
    </row>
    <row r="101" spans="1:2">
      <c r="A101" s="16"/>
      <c r="B101" s="16"/>
    </row>
    <row r="102" spans="1:2">
      <c r="A102" s="16"/>
      <c r="B102" s="16"/>
    </row>
    <row r="103" spans="1:2">
      <c r="A103" s="16"/>
      <c r="B103" s="16"/>
    </row>
    <row r="104" spans="1:2">
      <c r="A104" s="16"/>
      <c r="B104" s="16"/>
    </row>
    <row r="105" spans="1:2">
      <c r="A105" s="16"/>
      <c r="B105" s="16"/>
    </row>
    <row r="106" spans="1:2">
      <c r="A106" s="16"/>
      <c r="B106" s="16"/>
    </row>
    <row r="107" spans="1:2">
      <c r="A107" s="16"/>
      <c r="B107" s="16"/>
    </row>
    <row r="108" spans="1:2">
      <c r="A108" s="16"/>
      <c r="B108" s="16"/>
    </row>
    <row r="109" spans="1:2">
      <c r="A109" s="16"/>
      <c r="B109" s="16"/>
    </row>
    <row r="110" spans="1:2">
      <c r="A110" s="16"/>
      <c r="B110" s="16"/>
    </row>
    <row r="111" spans="1:2">
      <c r="A111" s="16"/>
      <c r="B111" s="16"/>
    </row>
    <row r="112" spans="1:2">
      <c r="A112" s="16"/>
      <c r="B112" s="16"/>
    </row>
    <row r="113" spans="1:2">
      <c r="A113" s="16"/>
      <c r="B113" s="16"/>
    </row>
    <row r="114" spans="1:2">
      <c r="A114" s="16"/>
      <c r="B114" s="16"/>
    </row>
    <row r="115" spans="1:2">
      <c r="A115" s="16"/>
      <c r="B115" s="16"/>
    </row>
    <row r="116" spans="1:2">
      <c r="A116" s="16"/>
      <c r="B116" s="16"/>
    </row>
    <row r="117" spans="1:2">
      <c r="A117" s="16"/>
      <c r="B117" s="16"/>
    </row>
    <row r="118" spans="1:2">
      <c r="A118" s="16"/>
      <c r="B118" s="16"/>
    </row>
    <row r="119" spans="1:2">
      <c r="A119" s="16"/>
      <c r="B119" s="16"/>
    </row>
    <row r="120" spans="1:2">
      <c r="A120" s="16"/>
      <c r="B120" s="16"/>
    </row>
    <row r="121" spans="1:2">
      <c r="A121" s="16"/>
      <c r="B121" s="16"/>
    </row>
    <row r="122" spans="1:2">
      <c r="A122" s="16"/>
      <c r="B122" s="16"/>
    </row>
    <row r="123" spans="1:2">
      <c r="A123" s="16"/>
      <c r="B123" s="16"/>
    </row>
    <row r="124" spans="1:2">
      <c r="A124" s="16"/>
      <c r="B124" s="16"/>
    </row>
    <row r="125" spans="1:2">
      <c r="A125" s="16"/>
      <c r="B125" s="16"/>
    </row>
    <row r="126" spans="1:2">
      <c r="A126" s="16"/>
      <c r="B126" s="16"/>
    </row>
    <row r="127" spans="1:2">
      <c r="A127" s="16"/>
      <c r="B127" s="16"/>
    </row>
    <row r="128" spans="1:2">
      <c r="A128" s="16"/>
      <c r="B128" s="16"/>
    </row>
    <row r="129" spans="1:2">
      <c r="A129" s="16"/>
      <c r="B129" s="16"/>
    </row>
    <row r="130" spans="1:2">
      <c r="A130" s="16"/>
      <c r="B130" s="16"/>
    </row>
    <row r="131" spans="1:2">
      <c r="A131" s="16"/>
      <c r="B131" s="16"/>
    </row>
    <row r="132" spans="1:2">
      <c r="A132" s="16"/>
      <c r="B132" s="16"/>
    </row>
    <row r="133" spans="1:2">
      <c r="A133" s="16"/>
      <c r="B133" s="16"/>
    </row>
    <row r="134" spans="1:2">
      <c r="A134" s="16"/>
      <c r="B134" s="16"/>
    </row>
    <row r="135" spans="1:2">
      <c r="A135" s="16"/>
      <c r="B135" s="16"/>
    </row>
    <row r="136" spans="1:2">
      <c r="A136" s="16"/>
      <c r="B136" s="16"/>
    </row>
    <row r="137" spans="1:2">
      <c r="A137" s="16"/>
      <c r="B137" s="16"/>
    </row>
    <row r="138" spans="1:2">
      <c r="A138" s="16"/>
      <c r="B138" s="16"/>
    </row>
    <row r="139" spans="1:2">
      <c r="A139" s="16"/>
      <c r="B139" s="16"/>
    </row>
    <row r="140" spans="1:2">
      <c r="A140" s="16"/>
      <c r="B140" s="16"/>
    </row>
    <row r="141" spans="1:2">
      <c r="A141" s="16"/>
      <c r="B141" s="16"/>
    </row>
    <row r="142" spans="1:2">
      <c r="A142" s="16"/>
      <c r="B142" s="16"/>
    </row>
    <row r="143" spans="1:2">
      <c r="A143" s="16"/>
      <c r="B143" s="16"/>
    </row>
    <row r="144" spans="1:2">
      <c r="A144" s="16"/>
      <c r="B144" s="16"/>
    </row>
    <row r="145" spans="1:2">
      <c r="A145" s="16"/>
      <c r="B145" s="16"/>
    </row>
    <row r="146" spans="1:2">
      <c r="A146" s="16"/>
      <c r="B146" s="16"/>
    </row>
    <row r="147" spans="1:2">
      <c r="A147" s="16"/>
      <c r="B147" s="16"/>
    </row>
    <row r="148" spans="1:2">
      <c r="A148" s="16"/>
      <c r="B148" s="16"/>
    </row>
    <row r="149" spans="1:2">
      <c r="A149" s="16"/>
      <c r="B149" s="16"/>
    </row>
    <row r="150" spans="1:2">
      <c r="A150" s="16"/>
      <c r="B150" s="16"/>
    </row>
    <row r="151" spans="1:2">
      <c r="A151" s="16"/>
      <c r="B151" s="16"/>
    </row>
    <row r="152" spans="1:2">
      <c r="A152" s="16"/>
      <c r="B152" s="16"/>
    </row>
    <row r="153" spans="1:2">
      <c r="A153" s="16"/>
      <c r="B153" s="16"/>
    </row>
    <row r="154" spans="1:2">
      <c r="A154" s="16"/>
      <c r="B154" s="16"/>
    </row>
    <row r="155" spans="1:2">
      <c r="A155" s="16"/>
      <c r="B155" s="16"/>
    </row>
    <row r="156" spans="1:2">
      <c r="A156" s="16"/>
      <c r="B156" s="16"/>
    </row>
    <row r="157" spans="1:2">
      <c r="A157" s="16"/>
      <c r="B157" s="16"/>
    </row>
    <row r="158" spans="1:2">
      <c r="A158" s="16"/>
      <c r="B158" s="16"/>
    </row>
    <row r="159" spans="1:2">
      <c r="A159" s="16"/>
      <c r="B159" s="16"/>
    </row>
    <row r="160" spans="1:2">
      <c r="A160" s="16"/>
      <c r="B160" s="16"/>
    </row>
    <row r="161" spans="1:2">
      <c r="A161" s="16"/>
      <c r="B161" s="16"/>
    </row>
    <row r="162" spans="1:2">
      <c r="A162" s="16"/>
      <c r="B162" s="16"/>
    </row>
    <row r="163" spans="1:2">
      <c r="A163" s="16"/>
      <c r="B163" s="16"/>
    </row>
    <row r="164" spans="1:2">
      <c r="A164" s="16"/>
      <c r="B164" s="16"/>
    </row>
    <row r="165" spans="1:2">
      <c r="A165" s="16"/>
      <c r="B165" s="16"/>
    </row>
    <row r="166" spans="1:2">
      <c r="A166" s="16"/>
      <c r="B166" s="16"/>
    </row>
    <row r="167" spans="1:2">
      <c r="A167" s="16"/>
      <c r="B167" s="16"/>
    </row>
    <row r="168" spans="1:2">
      <c r="A168" s="16"/>
      <c r="B168" s="16"/>
    </row>
    <row r="169" spans="1:2">
      <c r="A169" s="16"/>
      <c r="B169" s="16"/>
    </row>
    <row r="170" spans="1:2">
      <c r="A170" s="16"/>
      <c r="B170" s="16"/>
    </row>
    <row r="171" spans="1:2">
      <c r="A171" s="16"/>
      <c r="B171" s="16"/>
    </row>
    <row r="172" spans="1:2">
      <c r="A172" s="16"/>
      <c r="B172" s="16"/>
    </row>
    <row r="173" spans="1:2">
      <c r="A173" s="16"/>
      <c r="B173" s="16"/>
    </row>
    <row r="174" spans="1:2">
      <c r="A174" s="16"/>
      <c r="B174" s="16"/>
    </row>
    <row r="175" spans="1:2">
      <c r="A175" s="16"/>
      <c r="B175" s="16"/>
    </row>
    <row r="176" spans="1:2">
      <c r="A176" s="16"/>
      <c r="B176" s="16"/>
    </row>
    <row r="177" spans="1:2">
      <c r="A177" s="16"/>
      <c r="B177" s="16"/>
    </row>
    <row r="178" spans="1:2">
      <c r="A178" s="16"/>
      <c r="B178" s="16"/>
    </row>
    <row r="179" spans="1:2">
      <c r="A179" s="16"/>
      <c r="B179" s="16"/>
    </row>
    <row r="180" spans="1:2">
      <c r="A180" s="16"/>
      <c r="B180" s="16"/>
    </row>
    <row r="181" spans="1:2">
      <c r="A181" s="16"/>
      <c r="B181" s="16"/>
    </row>
    <row r="182" spans="1:2">
      <c r="A182" s="16"/>
      <c r="B182" s="16"/>
    </row>
    <row r="183" spans="1:2">
      <c r="A183" s="16"/>
      <c r="B183" s="16"/>
    </row>
    <row r="184" spans="1:2">
      <c r="A184" s="16"/>
      <c r="B184" s="16"/>
    </row>
    <row r="185" spans="1:2">
      <c r="A185" s="16"/>
      <c r="B185" s="16"/>
    </row>
    <row r="186" spans="1:2">
      <c r="A186" s="16"/>
      <c r="B186" s="16"/>
    </row>
    <row r="187" spans="1:2">
      <c r="A187" s="16"/>
      <c r="B187" s="16"/>
    </row>
    <row r="188" spans="1:2">
      <c r="A188" s="16"/>
      <c r="B188" s="16"/>
    </row>
    <row r="189" spans="1:2">
      <c r="A189" s="16"/>
      <c r="B189" s="16"/>
    </row>
    <row r="190" spans="1:2">
      <c r="A190" s="16"/>
      <c r="B190" s="16"/>
    </row>
    <row r="191" spans="1:2">
      <c r="A191" s="16"/>
      <c r="B191" s="16"/>
    </row>
    <row r="192" spans="1:2">
      <c r="A192" s="16"/>
      <c r="B192" s="16"/>
    </row>
    <row r="193" spans="1:2">
      <c r="A193" s="16"/>
      <c r="B193" s="16"/>
    </row>
    <row r="194" spans="1:2">
      <c r="A194" s="16"/>
      <c r="B194" s="16"/>
    </row>
    <row r="195" spans="1:2">
      <c r="A195" s="16"/>
      <c r="B195" s="16"/>
    </row>
    <row r="196" spans="1:2">
      <c r="A196" s="16"/>
      <c r="B196" s="16"/>
    </row>
    <row r="197" spans="1:2">
      <c r="A197" s="16"/>
      <c r="B197" s="16"/>
    </row>
    <row r="198" spans="1:2">
      <c r="A198" s="16"/>
      <c r="B198" s="16"/>
    </row>
    <row r="199" spans="1:2">
      <c r="A199" s="16"/>
      <c r="B199" s="16"/>
    </row>
    <row r="200" spans="1:2">
      <c r="A200" s="16"/>
      <c r="B200" s="16"/>
    </row>
    <row r="201" spans="1:2">
      <c r="A201" s="16"/>
      <c r="B201" s="16"/>
    </row>
    <row r="202" spans="1:2">
      <c r="A202" s="16"/>
      <c r="B202" s="16"/>
    </row>
    <row r="203" spans="1:2">
      <c r="A203" s="16"/>
      <c r="B203" s="16"/>
    </row>
    <row r="204" spans="1:2">
      <c r="A204" s="16"/>
      <c r="B204" s="16"/>
    </row>
    <row r="205" spans="1:2">
      <c r="A205" s="16"/>
      <c r="B205" s="16"/>
    </row>
    <row r="206" spans="1:2">
      <c r="A206" s="16"/>
      <c r="B206" s="16"/>
    </row>
    <row r="207" spans="1:2">
      <c r="A207" s="16"/>
      <c r="B207" s="16"/>
    </row>
    <row r="208" spans="1:2">
      <c r="A208" s="16"/>
      <c r="B208" s="16"/>
    </row>
    <row r="209" spans="1:2">
      <c r="A209" s="16"/>
      <c r="B209" s="16"/>
    </row>
    <row r="210" spans="1:2">
      <c r="A210" s="16"/>
      <c r="B210" s="16"/>
    </row>
    <row r="211" spans="1:2">
      <c r="A211" s="16"/>
      <c r="B211" s="16"/>
    </row>
    <row r="212" spans="1:2">
      <c r="A212" s="16"/>
      <c r="B212" s="16"/>
    </row>
    <row r="213" spans="1:2">
      <c r="A213" s="16"/>
      <c r="B213" s="16"/>
    </row>
    <row r="214" spans="1:2">
      <c r="A214" s="16"/>
      <c r="B214" s="16"/>
    </row>
    <row r="215" spans="1:2">
      <c r="A215" s="16"/>
      <c r="B215" s="16"/>
    </row>
    <row r="216" spans="1:2">
      <c r="A216" s="16"/>
      <c r="B216" s="16"/>
    </row>
    <row r="217" spans="1:2">
      <c r="A217" s="16"/>
      <c r="B217" s="16"/>
    </row>
    <row r="218" spans="1:2">
      <c r="A218" s="16"/>
      <c r="B218" s="16"/>
    </row>
    <row r="219" spans="1:2">
      <c r="A219" s="16"/>
      <c r="B219" s="16"/>
    </row>
    <row r="220" spans="1:2">
      <c r="A220" s="16"/>
      <c r="B220" s="16"/>
    </row>
    <row r="221" spans="1:2">
      <c r="A221" s="16"/>
      <c r="B221" s="16"/>
    </row>
    <row r="222" spans="1:2">
      <c r="A222" s="16"/>
      <c r="B222" s="16"/>
    </row>
    <row r="223" spans="1:2">
      <c r="A223" s="16"/>
      <c r="B223" s="16"/>
    </row>
    <row r="224" spans="1:2">
      <c r="A224" s="16"/>
      <c r="B224" s="16"/>
    </row>
    <row r="225" spans="1:2">
      <c r="A225" s="16"/>
      <c r="B225" s="16"/>
    </row>
    <row r="226" spans="1:2">
      <c r="A226" s="16"/>
      <c r="B226" s="16"/>
    </row>
    <row r="227" spans="1:2">
      <c r="A227" s="16"/>
      <c r="B227" s="16"/>
    </row>
    <row r="228" spans="1:2">
      <c r="A228" s="16"/>
      <c r="B228" s="16"/>
    </row>
    <row r="229" spans="1:2">
      <c r="A229" s="16"/>
      <c r="B229" s="16"/>
    </row>
    <row r="230" spans="1:2">
      <c r="A230" s="16"/>
      <c r="B230" s="16"/>
    </row>
    <row r="231" spans="1:2">
      <c r="A231" s="16"/>
      <c r="B231" s="16"/>
    </row>
    <row r="232" spans="1:2">
      <c r="A232" s="16"/>
      <c r="B232" s="16"/>
    </row>
    <row r="233" spans="1:2">
      <c r="A233" s="16"/>
      <c r="B233" s="16"/>
    </row>
    <row r="234" spans="1:2">
      <c r="A234" s="16"/>
      <c r="B234" s="16"/>
    </row>
    <row r="235" spans="1:2">
      <c r="A235" s="16"/>
      <c r="B235" s="16"/>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Barclays PLC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Ankit : Global Analytics Unit</dc:creator>
  <cp:keywords/>
  <dc:description/>
  <cp:lastModifiedBy/>
  <cp:revision/>
  <dcterms:created xsi:type="dcterms:W3CDTF">2017-03-20T16:12:20Z</dcterms:created>
  <dcterms:modified xsi:type="dcterms:W3CDTF">2026-02-26T14:16:49Z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